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intya/Downloads/"/>
    </mc:Choice>
  </mc:AlternateContent>
  <xr:revisionPtr revIDLastSave="0" documentId="13_ncr:1_{A30396D9-E10F-D143-8B4A-ABFA7AB520A0}" xr6:coauthVersionLast="47" xr6:coauthVersionMax="47" xr10:uidLastSave="{00000000-0000-0000-0000-000000000000}"/>
  <bookViews>
    <workbookView xWindow="0" yWindow="0" windowWidth="28160" windowHeight="17620" xr2:uid="{233BD126-9ED5-411F-AB78-5BB47F597C76}"/>
  </bookViews>
  <sheets>
    <sheet name="DATA" sheetId="1" r:id="rId1"/>
    <sheet name="Sheet1" sheetId="4" r:id="rId2"/>
    <sheet name="BPMP" sheetId="3" r:id="rId3"/>
    <sheet name="REF" sheetId="2" r:id="rId4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0" i="1" l="1"/>
  <c r="Q80" i="1"/>
  <c r="P80" i="1"/>
  <c r="R79" i="1"/>
  <c r="Q79" i="1"/>
  <c r="P79" i="1"/>
  <c r="L79" i="1" s="1"/>
  <c r="R78" i="1"/>
  <c r="Q78" i="1"/>
  <c r="P78" i="1"/>
  <c r="R77" i="1"/>
  <c r="Q77" i="1"/>
  <c r="P77" i="1"/>
  <c r="L77" i="1" s="1"/>
  <c r="R76" i="1"/>
  <c r="Q76" i="1"/>
  <c r="P76" i="1"/>
  <c r="R75" i="1"/>
  <c r="Q75" i="1"/>
  <c r="P75" i="1"/>
  <c r="R74" i="1"/>
  <c r="Q74" i="1"/>
  <c r="L74" i="1" s="1"/>
  <c r="P74" i="1"/>
  <c r="R73" i="1"/>
  <c r="Q73" i="1"/>
  <c r="P73" i="1"/>
  <c r="R72" i="1"/>
  <c r="Q72" i="1"/>
  <c r="P72" i="1"/>
  <c r="R71" i="1"/>
  <c r="Q71" i="1"/>
  <c r="P71" i="1"/>
  <c r="R70" i="1"/>
  <c r="Q70" i="1"/>
  <c r="P70" i="1"/>
  <c r="L70" i="1" s="1"/>
  <c r="R69" i="1"/>
  <c r="Q69" i="1"/>
  <c r="P69" i="1"/>
  <c r="R68" i="1"/>
  <c r="Q68" i="1"/>
  <c r="L68" i="1" s="1"/>
  <c r="P68" i="1"/>
  <c r="R67" i="1"/>
  <c r="Q67" i="1"/>
  <c r="P67" i="1"/>
  <c r="R66" i="1"/>
  <c r="Q66" i="1"/>
  <c r="P66" i="1"/>
  <c r="R65" i="1"/>
  <c r="Q65" i="1"/>
  <c r="P65" i="1"/>
  <c r="L65" i="1" s="1"/>
  <c r="R64" i="1"/>
  <c r="Q64" i="1"/>
  <c r="P64" i="1"/>
  <c r="R63" i="1"/>
  <c r="Q63" i="1"/>
  <c r="P63" i="1"/>
  <c r="L63" i="1" s="1"/>
  <c r="R62" i="1"/>
  <c r="Q62" i="1"/>
  <c r="P62" i="1"/>
  <c r="R61" i="1"/>
  <c r="Q61" i="1"/>
  <c r="P61" i="1"/>
  <c r="L61" i="1" s="1"/>
  <c r="R60" i="1"/>
  <c r="Q60" i="1"/>
  <c r="P60" i="1"/>
  <c r="R59" i="1"/>
  <c r="Q59" i="1"/>
  <c r="P59" i="1"/>
  <c r="R58" i="1"/>
  <c r="Q58" i="1"/>
  <c r="L58" i="1" s="1"/>
  <c r="P58" i="1"/>
  <c r="R57" i="1"/>
  <c r="Q57" i="1"/>
  <c r="P57" i="1"/>
  <c r="R56" i="1"/>
  <c r="Q56" i="1"/>
  <c r="P56" i="1"/>
  <c r="R55" i="1"/>
  <c r="Q55" i="1"/>
  <c r="P55" i="1"/>
  <c r="R54" i="1"/>
  <c r="Q54" i="1"/>
  <c r="P54" i="1"/>
  <c r="L54" i="1" s="1"/>
  <c r="R53" i="1"/>
  <c r="Q53" i="1"/>
  <c r="P53" i="1"/>
  <c r="L53" i="1" s="1"/>
  <c r="R52" i="1"/>
  <c r="Q52" i="1"/>
  <c r="L52" i="1" s="1"/>
  <c r="P52" i="1"/>
  <c r="R51" i="1"/>
  <c r="L51" i="1" s="1"/>
  <c r="Q51" i="1"/>
  <c r="P51" i="1"/>
  <c r="R50" i="1"/>
  <c r="Q50" i="1"/>
  <c r="P50" i="1"/>
  <c r="R49" i="1"/>
  <c r="Q49" i="1"/>
  <c r="P49" i="1"/>
  <c r="R48" i="1"/>
  <c r="Q48" i="1"/>
  <c r="P48" i="1"/>
  <c r="R47" i="1"/>
  <c r="Q47" i="1"/>
  <c r="P47" i="1"/>
  <c r="L47" i="1" s="1"/>
  <c r="R46" i="1"/>
  <c r="Q46" i="1"/>
  <c r="L46" i="1" s="1"/>
  <c r="P46" i="1"/>
  <c r="R45" i="1"/>
  <c r="Q45" i="1"/>
  <c r="P45" i="1"/>
  <c r="R44" i="1"/>
  <c r="Q44" i="1"/>
  <c r="P44" i="1"/>
  <c r="L44" i="1" s="1"/>
  <c r="R43" i="1"/>
  <c r="Q43" i="1"/>
  <c r="P43" i="1"/>
  <c r="L43" i="1" s="1"/>
  <c r="R42" i="1"/>
  <c r="Q42" i="1"/>
  <c r="L42" i="1" s="1"/>
  <c r="P42" i="1"/>
  <c r="R41" i="1"/>
  <c r="Q41" i="1"/>
  <c r="L41" i="1" s="1"/>
  <c r="P41" i="1"/>
  <c r="R40" i="1"/>
  <c r="Q40" i="1"/>
  <c r="L40" i="1" s="1"/>
  <c r="P40" i="1"/>
  <c r="R39" i="1"/>
  <c r="Q39" i="1"/>
  <c r="P39" i="1"/>
  <c r="R38" i="1"/>
  <c r="Q38" i="1"/>
  <c r="L38" i="1" s="1"/>
  <c r="P38" i="1"/>
  <c r="R37" i="1"/>
  <c r="Q37" i="1"/>
  <c r="P37" i="1"/>
  <c r="R36" i="1"/>
  <c r="Q36" i="1"/>
  <c r="P36" i="1"/>
  <c r="R35" i="1"/>
  <c r="Q35" i="1"/>
  <c r="P35" i="1"/>
  <c r="L35" i="1" s="1"/>
  <c r="R34" i="1"/>
  <c r="Q34" i="1"/>
  <c r="L34" i="1" s="1"/>
  <c r="P34" i="1"/>
  <c r="R33" i="1"/>
  <c r="Q33" i="1"/>
  <c r="P33" i="1"/>
  <c r="R32" i="1"/>
  <c r="Q32" i="1"/>
  <c r="P32" i="1"/>
  <c r="L32" i="1" s="1"/>
  <c r="R31" i="1"/>
  <c r="Q31" i="1"/>
  <c r="P31" i="1"/>
  <c r="R30" i="1"/>
  <c r="Q30" i="1"/>
  <c r="P30" i="1"/>
  <c r="L30" i="1" s="1"/>
  <c r="R29" i="1"/>
  <c r="Q29" i="1"/>
  <c r="L29" i="1" s="1"/>
  <c r="P29" i="1"/>
  <c r="R28" i="1"/>
  <c r="Q28" i="1"/>
  <c r="L28" i="1" s="1"/>
  <c r="P28" i="1"/>
  <c r="R27" i="1"/>
  <c r="Q27" i="1"/>
  <c r="P27" i="1"/>
  <c r="R26" i="1"/>
  <c r="Q26" i="1"/>
  <c r="P26" i="1"/>
  <c r="R25" i="1"/>
  <c r="Q25" i="1"/>
  <c r="P25" i="1"/>
  <c r="R24" i="1"/>
  <c r="L24" i="1" s="1"/>
  <c r="Q24" i="1"/>
  <c r="P24" i="1"/>
  <c r="R23" i="1"/>
  <c r="Q23" i="1"/>
  <c r="P23" i="1"/>
  <c r="L23" i="1" s="1"/>
  <c r="R22" i="1"/>
  <c r="Q22" i="1"/>
  <c r="P22" i="1"/>
  <c r="L22" i="1" s="1"/>
  <c r="R21" i="1"/>
  <c r="Q21" i="1"/>
  <c r="P21" i="1"/>
  <c r="R20" i="1"/>
  <c r="Q20" i="1"/>
  <c r="P20" i="1"/>
  <c r="L20" i="1" s="1"/>
  <c r="R19" i="1"/>
  <c r="Q19" i="1"/>
  <c r="P19" i="1"/>
  <c r="R18" i="1"/>
  <c r="Q18" i="1"/>
  <c r="P18" i="1"/>
  <c r="R17" i="1"/>
  <c r="Q17" i="1"/>
  <c r="L17" i="1" s="1"/>
  <c r="P17" i="1"/>
  <c r="R16" i="1"/>
  <c r="Q16" i="1"/>
  <c r="L16" i="1" s="1"/>
  <c r="P16" i="1"/>
  <c r="R15" i="1"/>
  <c r="Q15" i="1"/>
  <c r="P15" i="1"/>
  <c r="R14" i="1"/>
  <c r="Q14" i="1"/>
  <c r="L14" i="1" s="1"/>
  <c r="P14" i="1"/>
  <c r="R13" i="1"/>
  <c r="L13" i="1" s="1"/>
  <c r="Q13" i="1"/>
  <c r="P13" i="1"/>
  <c r="R12" i="1"/>
  <c r="Q12" i="1"/>
  <c r="P12" i="1"/>
  <c r="L12" i="1" s="1"/>
  <c r="R11" i="1"/>
  <c r="Q11" i="1"/>
  <c r="P11" i="1"/>
  <c r="L11" i="1" s="1"/>
  <c r="R10" i="1"/>
  <c r="Q10" i="1"/>
  <c r="P10" i="1"/>
  <c r="R9" i="1"/>
  <c r="Q9" i="1"/>
  <c r="P9" i="1"/>
  <c r="R8" i="1"/>
  <c r="Q8" i="1"/>
  <c r="P8" i="1"/>
  <c r="R7" i="1"/>
  <c r="Q7" i="1"/>
  <c r="P7" i="1"/>
  <c r="R6" i="1"/>
  <c r="Q6" i="1"/>
  <c r="P6" i="1"/>
  <c r="L76" i="1"/>
  <c r="L78" i="1"/>
  <c r="L80" i="1"/>
  <c r="L59" i="1"/>
  <c r="L60" i="1"/>
  <c r="L62" i="1"/>
  <c r="L64" i="1"/>
  <c r="L66" i="1"/>
  <c r="L67" i="1"/>
  <c r="L69" i="1"/>
  <c r="L71" i="1"/>
  <c r="L72" i="1"/>
  <c r="L73" i="1"/>
  <c r="L75" i="1"/>
  <c r="L55" i="1"/>
  <c r="L56" i="1"/>
  <c r="L57" i="1"/>
  <c r="L15" i="1"/>
  <c r="L18" i="1"/>
  <c r="L19" i="1"/>
  <c r="L21" i="1"/>
  <c r="L25" i="1"/>
  <c r="L26" i="1"/>
  <c r="L27" i="1"/>
  <c r="L31" i="1"/>
  <c r="L33" i="1"/>
  <c r="L36" i="1"/>
  <c r="L37" i="1"/>
  <c r="L39" i="1"/>
  <c r="L45" i="1"/>
  <c r="L48" i="1"/>
  <c r="L49" i="1"/>
  <c r="L50" i="1"/>
  <c r="R5" i="1"/>
  <c r="Q5" i="1"/>
  <c r="P5" i="1"/>
  <c r="L7" i="1" l="1"/>
  <c r="L6" i="1"/>
  <c r="L10" i="1"/>
  <c r="L9" i="1"/>
  <c r="L8" i="1"/>
  <c r="L5" i="1"/>
</calcChain>
</file>

<file path=xl/sharedStrings.xml><?xml version="1.0" encoding="utf-8"?>
<sst xmlns="http://schemas.openxmlformats.org/spreadsheetml/2006/main" count="640" uniqueCount="225">
  <si>
    <t>NPWP Pemotong</t>
  </si>
  <si>
    <t>Masa Pajak</t>
  </si>
  <si>
    <t>Tahun Pajak</t>
  </si>
  <si>
    <t>Status Pegawai</t>
  </si>
  <si>
    <t>Nomor Passport</t>
  </si>
  <si>
    <t>Status</t>
  </si>
  <si>
    <t>Posisi</t>
  </si>
  <si>
    <t>Sertifikat/Fasilitas</t>
  </si>
  <si>
    <t>Kode Objek Pajak</t>
  </si>
  <si>
    <t>Penghasilan Kotor</t>
  </si>
  <si>
    <t>Tarif</t>
  </si>
  <si>
    <t>ID TKU</t>
  </si>
  <si>
    <t>Tgl Pemotongan</t>
  </si>
  <si>
    <t>Resident</t>
  </si>
  <si>
    <t>Foreign</t>
  </si>
  <si>
    <t>TK/0</t>
  </si>
  <si>
    <t>TK/1</t>
  </si>
  <si>
    <t>TK/2</t>
  </si>
  <si>
    <t>TK/3</t>
  </si>
  <si>
    <t>K/0</t>
  </si>
  <si>
    <t>K/1</t>
  </si>
  <si>
    <t>K/2</t>
  </si>
  <si>
    <t>K/3</t>
  </si>
  <si>
    <t>HB/0</t>
  </si>
  <si>
    <t>HB/1</t>
  </si>
  <si>
    <t>HB/2</t>
  </si>
  <si>
    <t>HB/3</t>
  </si>
  <si>
    <t>N/A</t>
  </si>
  <si>
    <t>DTP</t>
  </si>
  <si>
    <t>21-100-01</t>
  </si>
  <si>
    <t>NPWP/NIK/TIN</t>
  </si>
  <si>
    <t>ETC</t>
  </si>
  <si>
    <t>Nama Objek Pajak</t>
  </si>
  <si>
    <t>Penghasilan yang diterima oleh Pegawai Tetap termasuk Pegawai Negeri Sipil, Anggota Tentara Nasional Indonesia, Anggota Polisi Republik Indonesia atau Pejabat Negara</t>
  </si>
  <si>
    <t>Penghasilan yang diterima oleh Penerima Pensiun secara  teratur</t>
  </si>
  <si>
    <t>Penghasilan yang diterima oleh Pegawai tetap yang menerima fasilitas di daerah tertentu</t>
  </si>
  <si>
    <t>21-100-02</t>
  </si>
  <si>
    <t>21-100-32</t>
  </si>
  <si>
    <t>1234567890123456</t>
  </si>
  <si>
    <t>Kolom pada excel</t>
  </si>
  <si>
    <t>Kolom pada xml</t>
  </si>
  <si>
    <t>Petunjuk pengisian</t>
  </si>
  <si>
    <t>Contoh pengisian</t>
  </si>
  <si>
    <t>Keterangan tambahan</t>
  </si>
  <si>
    <t>TIN</t>
  </si>
  <si>
    <t>Diisi dengan NPWP pemotong</t>
  </si>
  <si>
    <t>TaxPeriodMonth</t>
  </si>
  <si>
    <t>Diisi dengan masa pajak pemotongan</t>
  </si>
  <si>
    <t>1</t>
  </si>
  <si>
    <t>TaxPeriodYear</t>
  </si>
  <si>
    <t>2025</t>
  </si>
  <si>
    <t>CounterpartOpt</t>
  </si>
  <si>
    <t>Diisi dengan status kewarganegaraan pegawai (karyawan asing atau tidak)</t>
  </si>
  <si>
    <t>CounterpartTin</t>
  </si>
  <si>
    <t>Diisi dengan NIK pegawai tetap</t>
  </si>
  <si>
    <t>0987654321098765</t>
  </si>
  <si>
    <t>CounterpartPassport</t>
  </si>
  <si>
    <t>Diisi dengan nomor paspor pegawai tetap (jika karyawan asing)</t>
  </si>
  <si>
    <t>StatusTaxExemption</t>
  </si>
  <si>
    <t>Diisi dengan status PTKP penerima penghasilan</t>
  </si>
  <si>
    <t>Position</t>
  </si>
  <si>
    <t>Diisi dengan posisi pegawai tetap</t>
  </si>
  <si>
    <t>Staff</t>
  </si>
  <si>
    <t>TaxCertificate</t>
  </si>
  <si>
    <t>Diisi dengan fasilitas perpajakan yang digunakan</t>
  </si>
  <si>
    <t>TaxObjectCode</t>
  </si>
  <si>
    <t>Diisi dengan kode objek pajak</t>
  </si>
  <si>
    <t>Gross</t>
  </si>
  <si>
    <t>Diisi dengan penghasilan bruto</t>
  </si>
  <si>
    <t>Rate</t>
  </si>
  <si>
    <t>Diisi dengan tarif yang sesuai dengan referensi kode objek pajak</t>
  </si>
  <si>
    <t>Jika tarif menggunakan koma, di export ke xml, excel secara otomatis akan merubah menjadi format desimal menggunakan titik</t>
  </si>
  <si>
    <t>IDPlaceOfBusinessActivity</t>
  </si>
  <si>
    <t>Diisi dengan ID TKU pemotong</t>
  </si>
  <si>
    <t>1234567890123456789012</t>
  </si>
  <si>
    <t>WithholdingDate</t>
  </si>
  <si>
    <t>Diisi dengan tanggal pemotongan</t>
  </si>
  <si>
    <t>Saat di export ke xml, excel secara otomatis akan merubah menjadi format YYYY-MM-DD</t>
  </si>
  <si>
    <t>Validasi</t>
  </si>
  <si>
    <t>NPWP Pemotong harus sama dengan NPWP login</t>
  </si>
  <si>
    <t>Tanggal pemotongan tidak boleh lebih rendah dari masa/tahun pajak bukti potong</t>
  </si>
  <si>
    <t>Jika menggunakan fasilitas perpajakan lainnya, tarif dapat diisi tidak sesuai dengan referensi kode objek pajak</t>
  </si>
  <si>
    <t>NPWP/NIK wajib valid</t>
  </si>
  <si>
    <t>TER A</t>
  </si>
  <si>
    <t>TER B</t>
  </si>
  <si>
    <t>TER C</t>
  </si>
  <si>
    <t>1803040107940024</t>
  </si>
  <si>
    <t>3173031612790002</t>
  </si>
  <si>
    <t>3603201803910006</t>
  </si>
  <si>
    <t>3174061005861001</t>
  </si>
  <si>
    <t>3271041507830016</t>
  </si>
  <si>
    <t>1375020909890003</t>
  </si>
  <si>
    <t>3471136608760002</t>
  </si>
  <si>
    <t>3322114803880001</t>
  </si>
  <si>
    <t>3175052211770004</t>
  </si>
  <si>
    <t>3314021811920001</t>
  </si>
  <si>
    <t>3309170905920001</t>
  </si>
  <si>
    <t>3275121112930001</t>
  </si>
  <si>
    <t>3312031401910001</t>
  </si>
  <si>
    <t>5319022207000003</t>
  </si>
  <si>
    <t>3174050105930001</t>
  </si>
  <si>
    <t>3276056110960011</t>
  </si>
  <si>
    <t>3471122501830001</t>
  </si>
  <si>
    <t>3271032812000004</t>
  </si>
  <si>
    <t>3175016611980003</t>
  </si>
  <si>
    <t>3671062711830003</t>
  </si>
  <si>
    <t>3276021604940002</t>
  </si>
  <si>
    <t>3275031010870032</t>
  </si>
  <si>
    <t>3275013011970020</t>
  </si>
  <si>
    <t>3674032909890003</t>
  </si>
  <si>
    <t>3175031406840005</t>
  </si>
  <si>
    <t>2171116308939006</t>
  </si>
  <si>
    <t>3273161001960003</t>
  </si>
  <si>
    <t>1375015809970002</t>
  </si>
  <si>
    <t>3216200304940001</t>
  </si>
  <si>
    <t>3275030301960009</t>
  </si>
  <si>
    <t>3275125601980003</t>
  </si>
  <si>
    <t>1802194108010003</t>
  </si>
  <si>
    <t>3172041712940001</t>
  </si>
  <si>
    <t>3174040304880008</t>
  </si>
  <si>
    <t>3171022509020002</t>
  </si>
  <si>
    <t>3201340602970002</t>
  </si>
  <si>
    <t>5171031712910002</t>
  </si>
  <si>
    <t>3276032601970001</t>
  </si>
  <si>
    <t>3201372210990001</t>
  </si>
  <si>
    <t>3201131609050002</t>
  </si>
  <si>
    <t>0545175994017000</t>
  </si>
  <si>
    <t>3174011411640006</t>
  </si>
  <si>
    <t>3175040112981002</t>
  </si>
  <si>
    <t>3201132309940004</t>
  </si>
  <si>
    <t>3171081109870002</t>
  </si>
  <si>
    <t>3173072505740002</t>
  </si>
  <si>
    <t>3376011109810003</t>
  </si>
  <si>
    <t>3171043008771001</t>
  </si>
  <si>
    <t>3201130710940006</t>
  </si>
  <si>
    <t>3174085508910001</t>
  </si>
  <si>
    <t>3174051512880002</t>
  </si>
  <si>
    <t>3175082708970009</t>
  </si>
  <si>
    <t>3175101512930002</t>
  </si>
  <si>
    <t>3201241503900002</t>
  </si>
  <si>
    <t>3172031810900003</t>
  </si>
  <si>
    <t>3315135307960005</t>
  </si>
  <si>
    <t>3174096406011002</t>
  </si>
  <si>
    <t>3174095809830002</t>
  </si>
  <si>
    <t>3276050605000008</t>
  </si>
  <si>
    <t>3171047010920006</t>
  </si>
  <si>
    <t>3578130811900001</t>
  </si>
  <si>
    <t>3276052310670006</t>
  </si>
  <si>
    <t>3674025108940001</t>
  </si>
  <si>
    <t>3174071311840005</t>
  </si>
  <si>
    <t>3174071104590002</t>
  </si>
  <si>
    <t>3174074206900001</t>
  </si>
  <si>
    <t>3175073108650007</t>
  </si>
  <si>
    <t>3316142808900003</t>
  </si>
  <si>
    <t>3174070512850002</t>
  </si>
  <si>
    <t>3271040803790009</t>
  </si>
  <si>
    <t>3175032308930007</t>
  </si>
  <si>
    <t>3201131204960001</t>
  </si>
  <si>
    <t>3276010204720005</t>
  </si>
  <si>
    <t>3174061305820007</t>
  </si>
  <si>
    <t>3175046509040001</t>
  </si>
  <si>
    <t>3171056901910003</t>
  </si>
  <si>
    <t>Purchasing</t>
  </si>
  <si>
    <t>Chief Accountant</t>
  </si>
  <si>
    <t>Account Receivable</t>
  </si>
  <si>
    <t>Receiving &amp; Store Keeper</t>
  </si>
  <si>
    <t>Income Audit</t>
  </si>
  <si>
    <t>Account Payable</t>
  </si>
  <si>
    <t>General Manager</t>
  </si>
  <si>
    <t>Executive Secretary</t>
  </si>
  <si>
    <t>Chief Engineer</t>
  </si>
  <si>
    <t>Engineering M/E</t>
  </si>
  <si>
    <t>Asst. Chief Engineer</t>
  </si>
  <si>
    <t>Engineering Civil</t>
  </si>
  <si>
    <t>Waiter</t>
  </si>
  <si>
    <t>Waitress</t>
  </si>
  <si>
    <t>Food&amp;Beverage Director</t>
  </si>
  <si>
    <t>FB Supervisor</t>
  </si>
  <si>
    <t>Captain</t>
  </si>
  <si>
    <t>FB Operational Manager</t>
  </si>
  <si>
    <t>Bell Boy</t>
  </si>
  <si>
    <t>Duty Manager</t>
  </si>
  <si>
    <t>Front Office Supervisor</t>
  </si>
  <si>
    <t>Front Desk Agent</t>
  </si>
  <si>
    <t>Executive HouseKeeper</t>
  </si>
  <si>
    <t>Room Attendent</t>
  </si>
  <si>
    <t>House Keeping Supervisor</t>
  </si>
  <si>
    <t>Housekeeping Leader</t>
  </si>
  <si>
    <t>Human Resources Manager</t>
  </si>
  <si>
    <t>Chief Security</t>
  </si>
  <si>
    <t>Human Resources Officer</t>
  </si>
  <si>
    <t>Cook I</t>
  </si>
  <si>
    <t>CDP</t>
  </si>
  <si>
    <t>Executive Chef</t>
  </si>
  <si>
    <t>Cook 1</t>
  </si>
  <si>
    <t>Steward Supervisor</t>
  </si>
  <si>
    <t>Cook II</t>
  </si>
  <si>
    <t>Sous Chef</t>
  </si>
  <si>
    <t>Demi Chef</t>
  </si>
  <si>
    <t>Butcher</t>
  </si>
  <si>
    <t>E Commerce Manager</t>
  </si>
  <si>
    <t>Assistant Sales Manager</t>
  </si>
  <si>
    <t>Sales Admin</t>
  </si>
  <si>
    <t>Marcom Manager</t>
  </si>
  <si>
    <t>DG &amp; PR</t>
  </si>
  <si>
    <t>Senior Sales Manager</t>
  </si>
  <si>
    <t>Director of Sales &amp; Marketing</t>
  </si>
  <si>
    <t>Direktur Utama</t>
  </si>
  <si>
    <t>Sekretaris Direktur</t>
  </si>
  <si>
    <t>Direktur</t>
  </si>
  <si>
    <t>Komisaris Utama</t>
  </si>
  <si>
    <t>Komisaris</t>
  </si>
  <si>
    <t>Pengawas Executive Woodland Park Residences</t>
  </si>
  <si>
    <t>Driver Pak Fadjar</t>
  </si>
  <si>
    <t xml:space="preserve">Driver Pak Emral </t>
  </si>
  <si>
    <t>Assistant IT Manager</t>
  </si>
  <si>
    <t>Cost Control</t>
  </si>
  <si>
    <t>Steward</t>
  </si>
  <si>
    <t xml:space="preserve">Driver Pak Wiryawan </t>
  </si>
  <si>
    <t>Enginneering Supervisor</t>
  </si>
  <si>
    <t xml:space="preserve">Waitress Swiss Café </t>
  </si>
  <si>
    <t>Sr. Sales Manager</t>
  </si>
  <si>
    <t>0668176225064000</t>
  </si>
  <si>
    <t>SELAMAT GRADUATION YA?!</t>
  </si>
  <si>
    <t>0668176225064000000000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</si>
</sst>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rgb="FF000000"/>
      <name val="Calibri"/>
      <family val="2"/>
      <scheme val="minor"/>
    </font>
    <font>
      <sz val="72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164" fontId="3" fillId="0" borderId="0" applyFont="0" applyFill="0" applyBorder="0" applyAlignment="0" applyProtection="0"/>
  </cellStyleXfs>
  <cellXfs count="15">
    <xf numFmtId="0" fontId="0" fillId="0" borderId="0" xfId="0"/>
    <xf numFmtId="49" fontId="0" fillId="0" borderId="0" xfId="0" applyNumberFormat="1"/>
    <xf numFmtId="14" fontId="0" fillId="0" borderId="0" xfId="0" applyNumberFormat="1"/>
    <xf numFmtId="49" fontId="0" fillId="0" borderId="0" xfId="0" quotePrefix="1" applyNumberFormat="1"/>
    <xf numFmtId="0" fontId="2" fillId="0" borderId="0" xfId="0" applyFont="1"/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14" fontId="0" fillId="0" borderId="0" xfId="0" quotePrefix="1" applyNumberFormat="1" applyAlignment="1">
      <alignment horizontal="right"/>
    </xf>
    <xf numFmtId="0" fontId="0" fillId="0" borderId="0" xfId="0" quotePrefix="1"/>
    <xf numFmtId="0" fontId="3" fillId="0" borderId="0" xfId="1" quotePrefix="1" applyAlignment="1">
      <alignment horizontal="left"/>
    </xf>
    <xf numFmtId="14" fontId="3" fillId="0" borderId="0" xfId="1" quotePrefix="1" applyNumberFormat="1" applyAlignment="1">
      <alignment horizontal="left"/>
    </xf>
    <xf numFmtId="0" fontId="0" fillId="0" borderId="0" xfId="0" quotePrefix="1" applyAlignment="1">
      <alignment horizontal="left"/>
    </xf>
    <xf numFmtId="0" fontId="0" fillId="0" borderId="0" xfId="2" applyNumberFormat="1" applyFont="1"/>
    <xf numFmtId="0" fontId="4" fillId="0" borderId="0" xfId="0" quotePrefix="1" applyFont="1"/>
    <xf numFmtId="0" fontId="5" fillId="0" borderId="0" xfId="0" applyFont="1"/>
  </cellXfs>
  <cellStyles count="3">
    <cellStyle name="Comma" xfId="2" builtinId="3"/>
    <cellStyle name="Normal" xfId="0" builtinId="0"/>
    <cellStyle name="Normal 2" xfId="1" xr:uid="{F4BACB70-73E0-447B-AB3D-2CD290C7B6D7}"/>
  </cellStyles>
  <dxfs count="8">
    <dxf>
      <numFmt numFmtId="165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 id="MONTHLYPAYROLL" elementFormDefault="qualified" attributeFormDefault="unqualified">
      <xsd:simpleType name="TinType">
        <xsd:restriction base="xsd:string">
          <xsd:pattern value="[0-9]{15,16}"/>
        </xsd:restriction>
      </xsd:simpleType>
      <xsd:simpleType name="NonEmptyStringType">
        <xsd:restriction base="xsd:string">
          <xsd:minLength value="1"/>
        </xsd:restriction>
      </xsd:simpleType>
      <xsd:simpleType name="TaxBaseRateType">
        <xsd:restriction base="xsd:decimal">
          <xsd:minExclusive value="0"/>
        </xsd:restriction>
      </xsd:simpleType>
      <xsd:simpleType name="TaxType">
        <xsd:restriction base="xsd:decimal">
          <xsd:minInclusive value="0"/>
        </xsd:restriction>
      </xsd:simpleType>
      <xsd:simpleType name="CounterpartOptType" final="restriction">
        <xsd:restriction base="xsd:string">
          <xsd:enumeration value="Resident"/>
          <xsd:enumeration value="Foreign"/>
        </xsd:restriction>
      </xsd:simpleType>
      <xsd:simpleType name="CountryType">
        <xsd:restriction base="xsd:string">
          <xsd:pattern value="[a-zA-Z]{3}"/>
        </xsd:restriction>
      </xsd:simpleType>
      <xsd:simpleType name="TaxCertificateType" final="restriction">
        <xsd:restriction base="xsd:string">
          <xsd:enumeration value="N/A"/>
          <xsd:enumeration value="DTP"/>
          <xsd:enumeration value="ECT"/>
        </xsd:restriction>
      </xsd:simpleType>
      <xsd:simpleType name="DocType" final="restriction">
        <xsd:restriction base="xsd:string">
          <xsd:enumeration value="TaxInvoice"/>
          <xsd:enumeration value="CommercialInvoice"/>
          <xsd:enumeration value="Announchment"/>
          <xsd:enumeration value="Contract"/>
          <xsd:enumeration value="PaymentProof"/>
          <xsd:enumeration value="DeedofEngangement"/>
          <xsd:enumeration value="DeedofGeneralMeetingStakeholder"/>
          <xsd:enumeration value="StatementLetter"/>
          <xsd:enumeration value="BankAccountNumber"/>
        </xsd:restriction>
      </xsd:simpleType>
      <xsd:element name="MmPayrollBulk" type="MmPayrollBulkType"/>
      <xsd:complexType name="MmPayrollBulkType">
        <xsd:sequence>
          <xsd:element name="TIN" type="TinType" maxOccurs="1" minOccurs="1"/>
          <xsd:element name="ListOfMmPayroll" minOccurs="1" maxOccurs="1" type="ListOfMmPayrollType"/>
        </xsd:sequence>
      </xsd:complexType>
      <xsd:complexType name="ListOfMmPayrollType">
        <xsd:sequence>
          <xsd:element name="MmPayroll" type="MmPayrollType" maxOccurs="unbounded" minOccurs="1"/>
        </xsd:sequence>
      </xsd:complexType>
      <xsd:simpleType name="PtkpType" final="restriction">
        <xsd:restriction base="xsd:string">
          <xsd:enumeration value="TK/0"/>
          <xsd:enumeration value="TK/1"/>
          <xsd:enumeration value="TK/2"/>
          <xsd:enumeration value="TK/3"/>
          <xsd:enumeration value="K/0"/>
          <xsd:enumeration value="K/1"/>
          <xsd:enumeration value="K/2"/>
          <xsd:enumeration value="K/3"/>
          <xsd:enumeration value="HB/0"/>
          <xsd:enumeration value="HB/1"/>
          <xsd:enumeration value="HB/2"/>
          <xsd:enumeration value="HB/3"/>
        </xsd:restriction>
      </xsd:simpleType>
      <xsd:complexType name="MmPayrollType">
        <xsd:sequence>
          <xsd:element name="TaxPeriodMonth" type="xsd:integer" nillable="false"/>
          <xsd:element name="TaxPeriodYear" type="xsd:integer" nillable="false"/>
          <xsd:element name="CounterpartOpt" type="CounterpartOptType"/>
          <xsd:element name="CounterpartPassport" type="xsd:string" nillable="true"/>
          <xsd:element name="CounterpartTin" type="xsd:string" nillable="true"/>
          <xsd:element name="StatusTaxExemption" type="PtkpType"/>
          <xsd:element name="Position" type="xsd:string" nillable="false"/>
          <xsd:element name="TaxCertificate" type="TaxCertificateType"/>
          <xsd:element name="TaxObjectCode" type="NonEmptyStringType"/>
          <xsd:element name="Gross" type="TaxBaseRateType"/>
          <xsd:element name="Rate" type="TaxType"/>
          <xsd:element name="IDPlaceOfBusinessActivity" type="xsd:string"/>
          <xsd:element name="WithholdingDate" type="xsd:date"/>
        </xsd:sequence>
      </xsd:complexType>
    </xsd:schema>
  </Schema>
  <Map ID="6" Name="MmPayrollBulk_Map" RootElement="MmPayrollBulk" SchemaID="Schema2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xmlMaps" Target="xmlMap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AD2959-7B98-4B10-B691-7FF70419FD18}" name="Table2" displayName="Table2" ref="B4:N80" tableType="xml" totalsRowShown="0">
  <autoFilter ref="B4:N80" xr:uid="{E911B72D-C140-46F0-B5BC-2BC1828F45D5}"/>
  <tableColumns count="13">
    <tableColumn id="1" xr3:uid="{C597FD19-C122-403D-B133-16451B840FF1}" uniqueName="TaxPeriodMonth" name="Masa Pajak">
      <xmlColumnPr mapId="6" xpath="/MmPayrollBulk/ListOfMmPayroll/MmPayroll/TaxPeriodMonth" xmlDataType="integer"/>
    </tableColumn>
    <tableColumn id="2" xr3:uid="{2E579877-C43E-477D-9D19-180120A7704D}" uniqueName="TaxPeriodYear" name="Tahun Pajak">
      <xmlColumnPr mapId="6" xpath="/MmPayrollBulk/ListOfMmPayroll/MmPayroll/TaxPeriodYear" xmlDataType="integer"/>
    </tableColumn>
    <tableColumn id="3" xr3:uid="{ACD73651-9829-4A51-837C-8C6CDDD49D23}" uniqueName="CounterpartOpt" name="Status Pegawai" dataDxfId="7">
      <xmlColumnPr mapId="6" xpath="/MmPayrollBulk/ListOfMmPayroll/MmPayroll/CounterpartOpt" xmlDataType="string"/>
    </tableColumn>
    <tableColumn id="4" xr3:uid="{5F662100-29B5-427A-A93D-C671436CFE11}" uniqueName="CounterpartTin" name="NPWP/NIK/TIN" dataDxfId="6">
      <xmlColumnPr mapId="6" xpath="/MmPayrollBulk/ListOfMmPayroll/MmPayroll/CounterpartTin" xmlDataType="string"/>
    </tableColumn>
    <tableColumn id="6" xr3:uid="{A00C407F-B469-46B8-8C6A-ECAC74C1C6FB}" uniqueName="CounterpartPassport" name="Nomor Passport">
      <xmlColumnPr mapId="6" xpath="/MmPayrollBulk/ListOfMmPayroll/MmPayroll/CounterpartPassport" xmlDataType="string"/>
    </tableColumn>
    <tableColumn id="8" xr3:uid="{2735A94A-659A-44E0-8684-B1AA7EAFD2DF}" uniqueName="StatusTaxExemption" name="Status" dataDxfId="5">
      <xmlColumnPr mapId="6" xpath="/MmPayrollBulk/ListOfMmPayroll/MmPayroll/StatusTaxExemption" xmlDataType="string"/>
    </tableColumn>
    <tableColumn id="9" xr3:uid="{D760C054-C86D-4C87-AD3B-9C53A5A675E4}" uniqueName="Position" name="Posisi">
      <xmlColumnPr mapId="6" xpath="/MmPayrollBulk/ListOfMmPayroll/MmPayroll/Position" xmlDataType="string"/>
    </tableColumn>
    <tableColumn id="10" xr3:uid="{4FAE54B5-35E5-42DF-80FF-B2C894142A80}" uniqueName="TaxCertificate" name="Sertifikat/Fasilitas" dataDxfId="4">
      <xmlColumnPr mapId="6" xpath="/MmPayrollBulk/ListOfMmPayroll/MmPayroll/TaxCertificate" xmlDataType="string"/>
    </tableColumn>
    <tableColumn id="11" xr3:uid="{5B299DDC-7296-4A49-A20F-231170AF3FD5}" uniqueName="TaxObjectCode" name="Kode Objek Pajak" dataDxfId="3">
      <xmlColumnPr mapId="6" xpath="/MmPayrollBulk/ListOfMmPayroll/MmPayroll/TaxObjectCode" xmlDataType="string"/>
    </tableColumn>
    <tableColumn id="12" xr3:uid="{21191474-512C-4794-B122-77E07F1566AC}" uniqueName="Gross" name="Penghasilan Kotor">
      <xmlColumnPr mapId="6" xpath="/MmPayrollBulk/ListOfMmPayroll/MmPayroll/Gross" xmlDataType="decimal"/>
    </tableColumn>
    <tableColumn id="16" xr3:uid="{862B7401-CE89-4BDD-984B-7B736AE43B66}" uniqueName="Rate" name="Tarif" dataDxfId="2">
      <calculatedColumnFormula>IF(OR(G5="TK/0",G5="TK/1",G5="K/0",G5="HB/0",G5="HB/1"),P5,IF(OR(G5="TK/2",G5="TK/3",G5="K/1",G5="K/2",G5="HB/2",G5="HB/3"),Q5,R5))</calculatedColumnFormula>
      <xmlColumnPr mapId="6" xpath="/MmPayrollBulk/ListOfMmPayroll/MmPayroll/Rate" xmlDataType="decimal"/>
    </tableColumn>
    <tableColumn id="13" xr3:uid="{B3246643-63F7-4DFF-82E5-F25D234B6D01}" uniqueName="IDPlaceOfBusinessActivity" name="ID TKU" dataDxfId="1">
      <xmlColumnPr mapId="6" xpath="/MmPayrollBulk/ListOfMmPayroll/MmPayroll/IDPlaceOfBusinessActivity" xmlDataType="string"/>
    </tableColumn>
    <tableColumn id="15" xr3:uid="{1C14F8AE-C286-4352-8C82-3620250AA509}" uniqueName="WithholdingDate" name="Tgl Pemotongan" dataDxfId="0">
      <xmlColumnPr mapId="6" xpath="/MmPayrollBulk/ListOfMmPayroll/MmPayroll/WithholdingDate" xmlDataType="date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4" xr6:uid="{2236B08A-C72E-40B1-8D18-EEF88DB0E2F6}" r="B1" connectionId="0">
    <xmlCellPr id="1" xr6:uid="{9791E93E-9B21-4A3E-9449-C07C96501CAF}" uniqueName="TIN">
      <xmlPr mapId="6" xpath="/MmPayrollBulk/TIN" xmlDataType="string"/>
    </xmlCellPr>
  </singleXmlCell>
</singleXmlCel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tableSingleCells" Target="../tables/tableSingleCells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74F0B-3700-4B9C-94D1-E6993BC959C3}">
  <dimension ref="A1:U80"/>
  <sheetViews>
    <sheetView tabSelected="1" zoomScaleNormal="100" workbookViewId="0">
      <selection activeCell="H76" sqref="H76"/>
    </sheetView>
  </sheetViews>
  <sheetFormatPr baseColWidth="10" defaultColWidth="8.83203125" defaultRowHeight="15" x14ac:dyDescent="0.2"/>
  <cols>
    <col min="1" max="1" width="20" customWidth="1"/>
    <col min="2" max="2" width="17.33203125" bestFit="1" customWidth="1"/>
    <col min="3" max="3" width="13.83203125" bestFit="1" customWidth="1"/>
    <col min="4" max="4" width="16.6640625" bestFit="1" customWidth="1"/>
    <col min="5" max="5" width="25.5" customWidth="1"/>
    <col min="6" max="6" width="17.5" bestFit="1" customWidth="1"/>
    <col min="7" max="7" width="8.6640625" bestFit="1" customWidth="1"/>
    <col min="8" max="8" width="10.5" bestFit="1" customWidth="1"/>
    <col min="9" max="9" width="19.6640625" bestFit="1" customWidth="1"/>
    <col min="10" max="10" width="18.83203125" bestFit="1" customWidth="1"/>
    <col min="11" max="11" width="19.5" bestFit="1" customWidth="1"/>
    <col min="12" max="12" width="7.33203125" bestFit="1" customWidth="1"/>
    <col min="13" max="13" width="24.5" bestFit="1" customWidth="1"/>
    <col min="14" max="14" width="17.6640625" bestFit="1" customWidth="1"/>
    <col min="16" max="16" width="10.5" bestFit="1" customWidth="1"/>
    <col min="18" max="18" width="10.5" bestFit="1" customWidth="1"/>
  </cols>
  <sheetData>
    <row r="1" spans="1:21" x14ac:dyDescent="0.2">
      <c r="A1" t="s">
        <v>0</v>
      </c>
      <c r="B1" s="13" t="s">
        <v>222</v>
      </c>
    </row>
    <row r="4" spans="1:21" x14ac:dyDescent="0.2">
      <c r="B4" t="s">
        <v>1</v>
      </c>
      <c r="C4" t="s">
        <v>2</v>
      </c>
      <c r="D4" t="s">
        <v>3</v>
      </c>
      <c r="E4" t="s">
        <v>30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P4" t="s">
        <v>83</v>
      </c>
      <c r="Q4" t="s">
        <v>84</v>
      </c>
      <c r="R4" t="s">
        <v>85</v>
      </c>
    </row>
    <row r="5" spans="1:21" x14ac:dyDescent="0.2">
      <c r="B5">
        <v>5</v>
      </c>
      <c r="C5">
        <v>2026</v>
      </c>
      <c r="D5" s="1" t="s">
        <v>13</v>
      </c>
      <c r="E5" s="3" t="s">
        <v>86</v>
      </c>
      <c r="F5" s="1"/>
      <c r="G5" s="1" t="s">
        <v>21</v>
      </c>
      <c r="H5" s="1" t="s">
        <v>162</v>
      </c>
      <c r="I5" s="1" t="s">
        <v>27</v>
      </c>
      <c r="J5" s="1" t="s">
        <v>29</v>
      </c>
      <c r="K5">
        <v>11491353</v>
      </c>
      <c r="L5" s="8">
        <f>IF(OR(G5="TK/0",G5="TK/1",G5="K/0",G5="HB/0",G5="HB/1"),P5,IF(OR(G5="TK/2",G5="TK/3",G5="K/1",G5="K/2",G5="HB/2",G5="HB/3"),Q5,R5))</f>
        <v>2.5</v>
      </c>
      <c r="M5" s="3" t="s">
        <v>224</v>
      </c>
      <c r="N5" s="2">
        <v>46173</v>
      </c>
      <c r="P5" s="12">
        <f>IF(K5&lt;=5400000,0,IF(AND(K5&gt;5400000,K5&lt;=5650000),0.25,IF(AND(K5&gt;5650000,K5&lt;=5950000),0.5,IF(AND(K5&gt;5950000,K5&lt;=6300000),0.75,IF(AND(K5&gt;6300000,K5&lt;=6750000),1,IF(AND(K5&gt;6750000,K5&lt;=7500000),1.25,IF(AND(K5&gt;7500000,K5&lt;=8550000),1.5,IF(AND(K5&gt;8550000,K5&lt;=9650000),1.75,IF(AND(K5&gt;9650000,K5&lt;=10050000),2,IF(AND(K5&gt;10050000,K5&lt;=10350000),2.25,IF(AND(K5&gt;10350000,K5&lt;=10700000),2.5,IF(AND(K5&gt;10700000,K5&lt;=11050000),3,IF(AND(K5&gt;11050000,K5&lt;=11600000),3.5,IF(AND(K5&gt;11600000,K5&lt;=12500000),4,IF(AND(K5&gt;12500000,K5&lt;=13750000),5,IF(AND(K5&gt;13750000,K5&lt;=15100000),6,IF(AND(K5&gt;15100000,K5&lt;=16950000),7,IF(AND(K5&gt;16950000,K5&lt;=19750000),8,IF(AND(K5&gt;19750000,K5&lt;=24150000),9,IF(AND(K5&gt;24150000,K5&lt;=26450000),10,IF(AND(K5&gt;26450000,K5&lt;=28000000),11,IF(AND(K5&gt;28000000,K5&lt;=30050000),12,IF(AND(K5&gt;30050000,K5&lt;=32400000),13,IF(AND(K5&gt;32400000,K5&lt;=35400000),14,IF(AND(K5&gt;35400000,K5&lt;=39100000),15,IF(AND(K5&gt;39100000,K5&lt;=43850000),16,IF(AND(K5&gt;43850000,K5&lt;=47800000),17,IF(AND(K5&gt;47800000,K5&lt;=51400000),18,IF(AND(K5&gt;51400000,K5&lt;=56300000),19,IF(AND(K5&gt;56300000,K5&lt;=62200000),20,IF(AND(K5&gt;62200000,K5&lt;=68600000),21,IF(AND(K5&gt;68600000,K5&lt;=77500000),22,IF(AND(K5&gt;77500000,K5&lt;=89000000),23,IF(AND(K5&gt;89000000,K5&lt;=103000000),24,IF(AND(K5&gt;103000000,K5&lt;=125000000),25,IF(AND(K5&gt;125000000,K5&lt;=157000000),26,IF(AND(K5&gt;157000000,K5&lt;=206000000),27,IF(AND(K5&gt;206000000,K5&lt;=337000000),28,IF(AND(K5&gt;337000000,K5&lt;=454000000),29,IF(AND(K5&gt;454000000,K5&lt;=550000000),30,IF(AND(K5&gt;550000000,K5&lt;=695000000),31,IF(AND(K5&gt;695000000,K5&lt;=910000000),32,IF(AND(K5&gt;910000000,K5&lt;=1400000000),33,34)))))))))))))))))))))))))))))))))))))))))))</f>
        <v>3.5</v>
      </c>
      <c r="Q5" s="12">
        <f>IF(K5&lt;=6200000,0,IF(AND(K5&gt;6200000,K5&lt;=6500000),0.25,IF(AND(K5&gt;6500000,K5&lt;=6850000),0.5,IF(AND(K5&gt;6850000,K5&lt;=7300000),0.75,IF(AND(K5&gt;7300000,K5&lt;=9200000),1,IF(AND(K5&gt;9200000,K5&lt;=10750000),1.5,IF(AND(K5&gt;10750000,K5&lt;=11250000),2,IF(AND(K5&gt;11250000,K5&lt;=11600000),2.5,IF(AND(K5&gt;11600000,K5&lt;=12600000),3,IF(AND(K5&gt;12600000,K5&lt;=13600000),4,IF(AND(K5&gt;13600000,K5&lt;=14950000),5,IF(AND(K5&gt;14950000,K5&lt;=16400000),6,IF(AND(K5&gt;16400000,K5&lt;=18450000),7,IF(AND(K5&gt;18450000,K5&lt;=21850000),8,IF(AND(K5&gt;21850000,K5&lt;=26000000),9,IF(AND(K5&gt;26000000,K5&lt;=27700000),10,IF(AND(K5&gt;27700000,K5&lt;=29350000),11,IF(AND(K5&gt;29350000,K5&lt;=31450000),12,IF(AND(K5&gt;31450000,K5&lt;=33950000),13,IF(AND(K5&gt;33950000,K5&lt;=37100000),14,IF(AND(K5&gt;37100000,K5&lt;=41100000),15,IF(AND(K5&gt;41100000,K5&lt;=45800000),16,IF(AND(K5&gt;45800000,K5&lt;=49500000),17,IF(AND(K5&gt;49500000,K5&lt;=53800000),18,IF(AND(K5&gt;53800000,K5&lt;=58500000),19,IF(AND(K5&gt;58500000,K5&lt;=64000000),20,IF(AND(K5&gt;64000000,K5&lt;=71000000),21,IF(AND(K5&gt;71000000,K5&lt;=80000000),22,IF(AND(K5&gt;80000000,K5&lt;=93000000),23,IF(AND(K5&gt;93000000,K5&lt;=109000000),24,IF(AND(K5&gt;109000000,K5&lt;=129000000),25,IF(AND(K5&gt;129000000,K5&lt;=163000000),26,IF(AND(K5&gt;163000000,K5&lt;=211000000),27,IF(AND(K5&gt;211000000,K5&lt;=374000000),28,IF(AND(K5&gt;374000000,K5&lt;=459000000),29,IF(AND(K5&gt;459000000,K5&lt;=555000000),30,IF(AND(K5&gt;555000000,K5&lt;=704000000),31,IF(AND(K5&gt;704000000,K5&lt;=957000000),32,IF(AND(K5&gt;957000000,K5&lt;=1405000000),33,34)))))))))))))))))))))))))))))))))))))))</f>
        <v>2.5</v>
      </c>
      <c r="R5" s="12">
        <f>IF(K5&lt;=6600000,0,IF(AND(K5&gt;6600000,K5&lt;=6950000),0.25,IF(AND(K5&gt;6950000,K5&lt;=7350000),0.5,IF(AND(K5&gt;7350000,K5&lt;=7800000),0.75,IF(AND(K5&gt;7800000,K5&lt;=8850000),1,IF(AND(K5&gt;8850000,K5&lt;=9800000),1.25,IF(AND(K5&gt;9800000,K5&lt;=10950000),1.5,IF(AND(K5&gt;10950000,K5&lt;=11200000),1.75,IF(AND(K5&gt;11200000,K5&lt;=12050000),2,IF(AND(K5&gt;12050000,K5&lt;=12950000),3,IF(AND(K5&gt;12950000,K5&lt;=14150000),4,IF(AND(K5&gt;14150000,K5&lt;=15550000),5,IF(AND(K5&gt;15550000,K5&lt;=17050000),6,IF(AND(K5&gt;17050000,K5&lt;=19500000),7,IF(AND(K5&gt;19500000,K5&lt;=22700000),8,IF(AND(K5&gt;22700000,K5&lt;=26600000),9,IF(AND(K5&gt;26600000,K5&lt;=28100000),10,IF(AND(K5&gt;28100000,K5&lt;=30100000),11,IF(AND(K5&gt;30100000,K5&lt;=32600000),12,IF(AND(K5&gt;32600000,K5&lt;=35400000),13,IF(AND(K5&gt;35400000,K5&lt;=38900000),14,IF(AND(K5&gt;38900000,K5&lt;=43000000),15,IF(AND(K5&gt;43000000,K5&lt;=47400000),16,IF(AND(K5&gt;47400000,K5&lt;=51200000),17,IF(AND(K5&gt;51200000,K5&lt;=55800000),18,IF(AND(K5&gt;55800000,K5&lt;=60400000),19,IF(AND(K5&gt;60400000,K5&lt;=66700000),20,IF(AND(K5&gt;66700000,K5&lt;=74500000),21,IF(AND(K5&gt;74500000,K5&lt;=83200000),22,IF(AND(K5&gt;83200000,K5&lt;=95600000),23,IF(AND(K5&gt;95600000,K5&lt;=110000000),24,IF(AND(K5&gt;110000000,K5&lt;=134000000),25,IF(AND(K5&gt;134000000,K5&lt;=169000000),26,IF(AND(K5&gt;169000000,K5&lt;=221000000),27,IF(AND(K5&gt;221000000,K5&lt;=390000000),28,IF(AND(K5&gt;390000000,K5&lt;=463000000),29,IF(AND(K5&gt;463000000,K5&lt;=561000000),30,IF(AND(K5&gt;561000000,K5&lt;=709000000),31,IF(AND(K5&gt;709000000,K5&lt;=965000000),32,IF(AND(K5&gt;965000000,K5&lt;=1419000000),33,34))))))))))))))))))))))))))))))))))))))))</f>
        <v>2</v>
      </c>
      <c r="S5" s="12"/>
      <c r="T5" s="12"/>
      <c r="U5" s="12"/>
    </row>
    <row r="6" spans="1:21" x14ac:dyDescent="0.2">
      <c r="B6">
        <v>5</v>
      </c>
      <c r="C6">
        <v>2026</v>
      </c>
      <c r="D6" s="1" t="s">
        <v>13</v>
      </c>
      <c r="E6" s="3" t="s">
        <v>87</v>
      </c>
      <c r="F6" s="1"/>
      <c r="G6" s="1" t="s">
        <v>15</v>
      </c>
      <c r="H6" s="1" t="s">
        <v>163</v>
      </c>
      <c r="I6" s="1" t="s">
        <v>27</v>
      </c>
      <c r="J6" s="1" t="s">
        <v>29</v>
      </c>
      <c r="K6">
        <v>14383155</v>
      </c>
      <c r="L6" s="8">
        <f t="shared" ref="L6:L10" si="0">IF(OR(G6="TK/0",G6="TK/1",G6="K/0",G6="HB/0",G6="HB/1"),P6,IF(OR(G6="TK/2",G6="TK/3",G6="K/1",G6="K/2",G6="HB/2",G6="HB/3"),Q6,R6))</f>
        <v>6</v>
      </c>
      <c r="M6" s="3" t="s">
        <v>224</v>
      </c>
      <c r="N6" s="2">
        <v>46173</v>
      </c>
      <c r="P6" s="12">
        <f t="shared" ref="P6:P69" si="1">IF(K6&lt;=5400000,0,IF(AND(K6&gt;5400000,K6&lt;=5650000),0.25,IF(AND(K6&gt;5650000,K6&lt;=5950000),0.5,IF(AND(K6&gt;5950000,K6&lt;=6300000),0.75,IF(AND(K6&gt;6300000,K6&lt;=6750000),1,IF(AND(K6&gt;6750000,K6&lt;=7500000),1.25,IF(AND(K6&gt;7500000,K6&lt;=8550000),1.5,IF(AND(K6&gt;8550000,K6&lt;=9650000),1.75,IF(AND(K6&gt;9650000,K6&lt;=10050000),2,IF(AND(K6&gt;10050000,K6&lt;=10350000),2.25,IF(AND(K6&gt;10350000,K6&lt;=10700000),2.5,IF(AND(K6&gt;10700000,K6&lt;=11050000),3,IF(AND(K6&gt;11050000,K6&lt;=11600000),3.5,IF(AND(K6&gt;11600000,K6&lt;=12500000),4,IF(AND(K6&gt;12500000,K6&lt;=13750000),5,IF(AND(K6&gt;13750000,K6&lt;=15100000),6,IF(AND(K6&gt;15100000,K6&lt;=16950000),7,IF(AND(K6&gt;16950000,K6&lt;=19750000),8,IF(AND(K6&gt;19750000,K6&lt;=24150000),9,IF(AND(K6&gt;24150000,K6&lt;=26450000),10,IF(AND(K6&gt;26450000,K6&lt;=28000000),11,IF(AND(K6&gt;28000000,K6&lt;=30050000),12,IF(AND(K6&gt;30050000,K6&lt;=32400000),13,IF(AND(K6&gt;32400000,K6&lt;=35400000),14,IF(AND(K6&gt;35400000,K6&lt;=39100000),15,IF(AND(K6&gt;39100000,K6&lt;=43850000),16,IF(AND(K6&gt;43850000,K6&lt;=47800000),17,IF(AND(K6&gt;47800000,K6&lt;=51400000),18,IF(AND(K6&gt;51400000,K6&lt;=56300000),19,IF(AND(K6&gt;56300000,K6&lt;=62200000),20,IF(AND(K6&gt;62200000,K6&lt;=68600000),21,IF(AND(K6&gt;68600000,K6&lt;=77500000),22,IF(AND(K6&gt;77500000,K6&lt;=89000000),23,IF(AND(K6&gt;89000000,K6&lt;=103000000),24,IF(AND(K6&gt;103000000,K6&lt;=125000000),25,IF(AND(K6&gt;125000000,K6&lt;=157000000),26,IF(AND(K6&gt;157000000,K6&lt;=206000000),27,IF(AND(K6&gt;206000000,K6&lt;=337000000),28,IF(AND(K6&gt;337000000,K6&lt;=454000000),29,IF(AND(K6&gt;454000000,K6&lt;=550000000),30,IF(AND(K6&gt;550000000,K6&lt;=695000000),31,IF(AND(K6&gt;695000000,K6&lt;=910000000),32,IF(AND(K6&gt;910000000,K6&lt;=1400000000),33,34)))))))))))))))))))))))))))))))))))))))))))</f>
        <v>6</v>
      </c>
      <c r="Q6" s="12">
        <f t="shared" ref="Q6:Q69" si="2">IF(K6&lt;=6200000,0,IF(AND(K6&gt;6200000,K6&lt;=6500000),0.25,IF(AND(K6&gt;6500000,K6&lt;=6850000),0.5,IF(AND(K6&gt;6850000,K6&lt;=7300000),0.75,IF(AND(K6&gt;7300000,K6&lt;=9200000),1,IF(AND(K6&gt;9200000,K6&lt;=10750000),1.5,IF(AND(K6&gt;10750000,K6&lt;=11250000),2,IF(AND(K6&gt;11250000,K6&lt;=11600000),2.5,IF(AND(K6&gt;11600000,K6&lt;=12600000),3,IF(AND(K6&gt;12600000,K6&lt;=13600000),4,IF(AND(K6&gt;13600000,K6&lt;=14950000),5,IF(AND(K6&gt;14950000,K6&lt;=16400000),6,IF(AND(K6&gt;16400000,K6&lt;=18450000),7,IF(AND(K6&gt;18450000,K6&lt;=21850000),8,IF(AND(K6&gt;21850000,K6&lt;=26000000),9,IF(AND(K6&gt;26000000,K6&lt;=27700000),10,IF(AND(K6&gt;27700000,K6&lt;=29350000),11,IF(AND(K6&gt;29350000,K6&lt;=31450000),12,IF(AND(K6&gt;31450000,K6&lt;=33950000),13,IF(AND(K6&gt;33950000,K6&lt;=37100000),14,IF(AND(K6&gt;37100000,K6&lt;=41100000),15,IF(AND(K6&gt;41100000,K6&lt;=45800000),16,IF(AND(K6&gt;45800000,K6&lt;=49500000),17,IF(AND(K6&gt;49500000,K6&lt;=53800000),18,IF(AND(K6&gt;53800000,K6&lt;=58500000),19,IF(AND(K6&gt;58500000,K6&lt;=64000000),20,IF(AND(K6&gt;64000000,K6&lt;=71000000),21,IF(AND(K6&gt;71000000,K6&lt;=80000000),22,IF(AND(K6&gt;80000000,K6&lt;=93000000),23,IF(AND(K6&gt;93000000,K6&lt;=109000000),24,IF(AND(K6&gt;109000000,K6&lt;=129000000),25,IF(AND(K6&gt;129000000,K6&lt;=163000000),26,IF(AND(K6&gt;163000000,K6&lt;=211000000),27,IF(AND(K6&gt;211000000,K6&lt;=374000000),28,IF(AND(K6&gt;374000000,K6&lt;=459000000),29,IF(AND(K6&gt;459000000,K6&lt;=555000000),30,IF(AND(K6&gt;555000000,K6&lt;=704000000),31,IF(AND(K6&gt;704000000,K6&lt;=957000000),32,IF(AND(K6&gt;957000000,K6&lt;=1405000000),33,34)))))))))))))))))))))))))))))))))))))))</f>
        <v>5</v>
      </c>
      <c r="R6" s="12">
        <f t="shared" ref="R6:R69" si="3">IF(K6&lt;=6600000,0,IF(AND(K6&gt;6600000,K6&lt;=6950000),0.25,IF(AND(K6&gt;6950000,K6&lt;=7350000),0.5,IF(AND(K6&gt;7350000,K6&lt;=7800000),0.75,IF(AND(K6&gt;7800000,K6&lt;=8850000),1,IF(AND(K6&gt;8850000,K6&lt;=9800000),1.25,IF(AND(K6&gt;9800000,K6&lt;=10950000),1.5,IF(AND(K6&gt;10950000,K6&lt;=11200000),1.75,IF(AND(K6&gt;11200000,K6&lt;=12050000),2,IF(AND(K6&gt;12050000,K6&lt;=12950000),3,IF(AND(K6&gt;12950000,K6&lt;=14150000),4,IF(AND(K6&gt;14150000,K6&lt;=15550000),5,IF(AND(K6&gt;15550000,K6&lt;=17050000),6,IF(AND(K6&gt;17050000,K6&lt;=19500000),7,IF(AND(K6&gt;19500000,K6&lt;=22700000),8,IF(AND(K6&gt;22700000,K6&lt;=26600000),9,IF(AND(K6&gt;26600000,K6&lt;=28100000),10,IF(AND(K6&gt;28100000,K6&lt;=30100000),11,IF(AND(K6&gt;30100000,K6&lt;=32600000),12,IF(AND(K6&gt;32600000,K6&lt;=35400000),13,IF(AND(K6&gt;35400000,K6&lt;=38900000),14,IF(AND(K6&gt;38900000,K6&lt;=43000000),15,IF(AND(K6&gt;43000000,K6&lt;=47400000),16,IF(AND(K6&gt;47400000,K6&lt;=51200000),17,IF(AND(K6&gt;51200000,K6&lt;=55800000),18,IF(AND(K6&gt;55800000,K6&lt;=60400000),19,IF(AND(K6&gt;60400000,K6&lt;=66700000),20,IF(AND(K6&gt;66700000,K6&lt;=74500000),21,IF(AND(K6&gt;74500000,K6&lt;=83200000),22,IF(AND(K6&gt;83200000,K6&lt;=95600000),23,IF(AND(K6&gt;95600000,K6&lt;=110000000),24,IF(AND(K6&gt;110000000,K6&lt;=134000000),25,IF(AND(K6&gt;134000000,K6&lt;=169000000),26,IF(AND(K6&gt;169000000,K6&lt;=221000000),27,IF(AND(K6&gt;221000000,K6&lt;=390000000),28,IF(AND(K6&gt;390000000,K6&lt;=463000000),29,IF(AND(K6&gt;463000000,K6&lt;=561000000),30,IF(AND(K6&gt;561000000,K6&lt;=709000000),31,IF(AND(K6&gt;709000000,K6&lt;=965000000),32,IF(AND(K6&gt;965000000,K6&lt;=1419000000),33,34))))))))))))))))))))))))))))))))))))))))</f>
        <v>5</v>
      </c>
      <c r="S6" s="12"/>
      <c r="T6" s="12"/>
      <c r="U6" s="12"/>
    </row>
    <row r="7" spans="1:21" x14ac:dyDescent="0.2">
      <c r="B7">
        <v>5</v>
      </c>
      <c r="C7">
        <v>2026</v>
      </c>
      <c r="D7" s="1" t="s">
        <v>13</v>
      </c>
      <c r="E7" s="3" t="s">
        <v>88</v>
      </c>
      <c r="F7" s="1"/>
      <c r="G7" s="1" t="s">
        <v>22</v>
      </c>
      <c r="H7" s="1" t="s">
        <v>164</v>
      </c>
      <c r="I7" s="1" t="s">
        <v>27</v>
      </c>
      <c r="J7" s="1" t="s">
        <v>29</v>
      </c>
      <c r="K7">
        <v>12774887</v>
      </c>
      <c r="L7" s="8">
        <f t="shared" si="0"/>
        <v>3</v>
      </c>
      <c r="M7" s="3" t="s">
        <v>224</v>
      </c>
      <c r="N7" s="2">
        <v>46173</v>
      </c>
      <c r="P7" s="12">
        <f t="shared" si="1"/>
        <v>5</v>
      </c>
      <c r="Q7" s="12">
        <f t="shared" si="2"/>
        <v>4</v>
      </c>
      <c r="R7" s="12">
        <f t="shared" si="3"/>
        <v>3</v>
      </c>
      <c r="S7" s="12"/>
      <c r="T7" s="12"/>
      <c r="U7" s="12"/>
    </row>
    <row r="8" spans="1:21" x14ac:dyDescent="0.2">
      <c r="B8">
        <v>5</v>
      </c>
      <c r="C8">
        <v>2026</v>
      </c>
      <c r="D8" s="1" t="s">
        <v>13</v>
      </c>
      <c r="E8" s="3" t="s">
        <v>89</v>
      </c>
      <c r="F8" s="1"/>
      <c r="G8" s="1" t="s">
        <v>21</v>
      </c>
      <c r="H8" s="1" t="s">
        <v>165</v>
      </c>
      <c r="I8" s="1" t="s">
        <v>27</v>
      </c>
      <c r="J8" s="1" t="s">
        <v>29</v>
      </c>
      <c r="K8">
        <v>11491353</v>
      </c>
      <c r="L8" s="8">
        <f t="shared" si="0"/>
        <v>2.5</v>
      </c>
      <c r="M8" s="3" t="s">
        <v>224</v>
      </c>
      <c r="N8" s="2">
        <v>46173</v>
      </c>
      <c r="P8" s="12">
        <f t="shared" si="1"/>
        <v>3.5</v>
      </c>
      <c r="Q8" s="12">
        <f t="shared" si="2"/>
        <v>2.5</v>
      </c>
      <c r="R8" s="12">
        <f t="shared" si="3"/>
        <v>2</v>
      </c>
      <c r="S8" s="12"/>
      <c r="T8" s="12"/>
      <c r="U8" s="12"/>
    </row>
    <row r="9" spans="1:21" x14ac:dyDescent="0.2">
      <c r="B9">
        <v>5</v>
      </c>
      <c r="C9">
        <v>2026</v>
      </c>
      <c r="D9" s="1" t="s">
        <v>13</v>
      </c>
      <c r="E9" s="3" t="s">
        <v>90</v>
      </c>
      <c r="F9" s="1"/>
      <c r="G9" s="1" t="s">
        <v>22</v>
      </c>
      <c r="H9" s="1" t="s">
        <v>166</v>
      </c>
      <c r="I9" s="1" t="s">
        <v>27</v>
      </c>
      <c r="J9" s="1" t="s">
        <v>29</v>
      </c>
      <c r="K9">
        <v>12774887</v>
      </c>
      <c r="L9" s="8">
        <f t="shared" si="0"/>
        <v>3</v>
      </c>
      <c r="M9" s="3" t="s">
        <v>224</v>
      </c>
      <c r="N9" s="2">
        <v>46173</v>
      </c>
      <c r="P9" s="12">
        <f t="shared" si="1"/>
        <v>5</v>
      </c>
      <c r="Q9" s="12">
        <f t="shared" si="2"/>
        <v>4</v>
      </c>
      <c r="R9" s="12">
        <f t="shared" si="3"/>
        <v>3</v>
      </c>
      <c r="S9" s="12"/>
      <c r="T9" s="12"/>
      <c r="U9" s="12"/>
    </row>
    <row r="10" spans="1:21" x14ac:dyDescent="0.2">
      <c r="B10">
        <v>5</v>
      </c>
      <c r="C10">
        <v>2026</v>
      </c>
      <c r="D10" s="1" t="s">
        <v>13</v>
      </c>
      <c r="E10" s="3" t="s">
        <v>91</v>
      </c>
      <c r="F10" s="1"/>
      <c r="G10" s="1" t="s">
        <v>20</v>
      </c>
      <c r="H10" s="1" t="s">
        <v>167</v>
      </c>
      <c r="I10" s="1" t="s">
        <v>27</v>
      </c>
      <c r="J10" s="1" t="s">
        <v>29</v>
      </c>
      <c r="K10">
        <v>12990889</v>
      </c>
      <c r="L10" s="8">
        <f t="shared" si="0"/>
        <v>4</v>
      </c>
      <c r="M10" s="3" t="s">
        <v>224</v>
      </c>
      <c r="N10" s="2">
        <v>46173</v>
      </c>
      <c r="P10" s="12">
        <f t="shared" si="1"/>
        <v>5</v>
      </c>
      <c r="Q10" s="12">
        <f t="shared" si="2"/>
        <v>4</v>
      </c>
      <c r="R10" s="12">
        <f t="shared" si="3"/>
        <v>4</v>
      </c>
      <c r="S10" s="12"/>
      <c r="T10" s="12"/>
      <c r="U10" s="12"/>
    </row>
    <row r="11" spans="1:21" x14ac:dyDescent="0.2">
      <c r="B11">
        <v>5</v>
      </c>
      <c r="C11">
        <v>2026</v>
      </c>
      <c r="D11" s="1" t="s">
        <v>13</v>
      </c>
      <c r="E11" s="1" t="s">
        <v>92</v>
      </c>
      <c r="G11" s="1" t="s">
        <v>19</v>
      </c>
      <c r="H11" t="s">
        <v>168</v>
      </c>
      <c r="I11" s="1" t="s">
        <v>27</v>
      </c>
      <c r="J11" s="1" t="s">
        <v>29</v>
      </c>
      <c r="K11">
        <v>73687652</v>
      </c>
      <c r="L11" s="1">
        <f t="shared" ref="L11:L51" si="4">IF(OR(G11="TK/0",G11="TK/1",G11="K/0",G11="HB/0",G11="HB/1"),P11,IF(OR(G11="TK/2",G11="TK/3",G11="K/1",G11="K/2",G11="HB/2",G11="HB/3"),Q11,R11))</f>
        <v>22</v>
      </c>
      <c r="M11" s="3" t="s">
        <v>224</v>
      </c>
      <c r="N11" s="2">
        <v>46173</v>
      </c>
      <c r="P11" s="12">
        <f t="shared" si="1"/>
        <v>22</v>
      </c>
      <c r="Q11" s="12">
        <f t="shared" si="2"/>
        <v>22</v>
      </c>
      <c r="R11" s="12">
        <f t="shared" si="3"/>
        <v>21</v>
      </c>
    </row>
    <row r="12" spans="1:21" x14ac:dyDescent="0.2">
      <c r="B12">
        <v>5</v>
      </c>
      <c r="C12">
        <v>2026</v>
      </c>
      <c r="D12" s="1" t="s">
        <v>13</v>
      </c>
      <c r="E12" s="1" t="s">
        <v>93</v>
      </c>
      <c r="G12" s="1" t="s">
        <v>15</v>
      </c>
      <c r="H12" t="s">
        <v>169</v>
      </c>
      <c r="I12" s="1" t="s">
        <v>27</v>
      </c>
      <c r="J12" s="1" t="s">
        <v>29</v>
      </c>
      <c r="K12">
        <v>13544985</v>
      </c>
      <c r="L12" s="1">
        <f t="shared" si="4"/>
        <v>5</v>
      </c>
      <c r="M12" s="3" t="s">
        <v>224</v>
      </c>
      <c r="N12" s="2">
        <v>46173</v>
      </c>
      <c r="P12" s="12">
        <f t="shared" si="1"/>
        <v>5</v>
      </c>
      <c r="Q12" s="12">
        <f t="shared" si="2"/>
        <v>4</v>
      </c>
      <c r="R12" s="12">
        <f t="shared" si="3"/>
        <v>4</v>
      </c>
    </row>
    <row r="13" spans="1:21" x14ac:dyDescent="0.2">
      <c r="B13">
        <v>5</v>
      </c>
      <c r="C13">
        <v>2026</v>
      </c>
      <c r="D13" s="1" t="s">
        <v>13</v>
      </c>
      <c r="E13" s="1" t="s">
        <v>94</v>
      </c>
      <c r="G13" s="1" t="s">
        <v>22</v>
      </c>
      <c r="H13" t="s">
        <v>170</v>
      </c>
      <c r="I13" s="1" t="s">
        <v>27</v>
      </c>
      <c r="J13" s="1" t="s">
        <v>29</v>
      </c>
      <c r="K13">
        <v>19072479</v>
      </c>
      <c r="L13" s="1">
        <f t="shared" si="4"/>
        <v>7</v>
      </c>
      <c r="M13" s="3" t="s">
        <v>224</v>
      </c>
      <c r="N13" s="2">
        <v>46173</v>
      </c>
      <c r="P13" s="12">
        <f t="shared" si="1"/>
        <v>8</v>
      </c>
      <c r="Q13" s="12">
        <f t="shared" si="2"/>
        <v>8</v>
      </c>
      <c r="R13" s="12">
        <f t="shared" si="3"/>
        <v>7</v>
      </c>
    </row>
    <row r="14" spans="1:21" x14ac:dyDescent="0.2">
      <c r="B14">
        <v>5</v>
      </c>
      <c r="C14">
        <v>2026</v>
      </c>
      <c r="D14" s="1" t="s">
        <v>13</v>
      </c>
      <c r="E14" s="1" t="s">
        <v>95</v>
      </c>
      <c r="G14" s="1" t="s">
        <v>20</v>
      </c>
      <c r="H14" t="s">
        <v>171</v>
      </c>
      <c r="I14" s="1" t="s">
        <v>27</v>
      </c>
      <c r="J14" s="1" t="s">
        <v>29</v>
      </c>
      <c r="K14">
        <v>11491353</v>
      </c>
      <c r="L14" s="1">
        <f t="shared" si="4"/>
        <v>2.5</v>
      </c>
      <c r="M14" s="3" t="s">
        <v>224</v>
      </c>
      <c r="N14" s="2">
        <v>46173</v>
      </c>
      <c r="P14" s="12">
        <f t="shared" si="1"/>
        <v>3.5</v>
      </c>
      <c r="Q14" s="12">
        <f t="shared" si="2"/>
        <v>2.5</v>
      </c>
      <c r="R14" s="12">
        <f t="shared" si="3"/>
        <v>2</v>
      </c>
    </row>
    <row r="15" spans="1:21" x14ac:dyDescent="0.2">
      <c r="B15">
        <v>5</v>
      </c>
      <c r="C15">
        <v>2026</v>
      </c>
      <c r="D15" s="1" t="s">
        <v>13</v>
      </c>
      <c r="E15" s="1" t="s">
        <v>96</v>
      </c>
      <c r="G15" s="1" t="s">
        <v>21</v>
      </c>
      <c r="H15" t="s">
        <v>171</v>
      </c>
      <c r="I15" s="1" t="s">
        <v>27</v>
      </c>
      <c r="J15" s="1" t="s">
        <v>29</v>
      </c>
      <c r="K15">
        <v>11491353</v>
      </c>
      <c r="L15" s="1">
        <f t="shared" si="4"/>
        <v>2.5</v>
      </c>
      <c r="M15" s="3" t="s">
        <v>224</v>
      </c>
      <c r="N15" s="2">
        <v>46173</v>
      </c>
      <c r="P15" s="12">
        <f t="shared" si="1"/>
        <v>3.5</v>
      </c>
      <c r="Q15" s="12">
        <f t="shared" si="2"/>
        <v>2.5</v>
      </c>
      <c r="R15" s="12">
        <f t="shared" si="3"/>
        <v>2</v>
      </c>
    </row>
    <row r="16" spans="1:21" x14ac:dyDescent="0.2">
      <c r="B16">
        <v>5</v>
      </c>
      <c r="C16">
        <v>2026</v>
      </c>
      <c r="D16" s="1" t="s">
        <v>13</v>
      </c>
      <c r="E16" s="1" t="s">
        <v>97</v>
      </c>
      <c r="G16" s="1" t="s">
        <v>21</v>
      </c>
      <c r="H16" t="s">
        <v>171</v>
      </c>
      <c r="I16" s="1" t="s">
        <v>27</v>
      </c>
      <c r="J16" s="1" t="s">
        <v>29</v>
      </c>
      <c r="K16">
        <v>11491353</v>
      </c>
      <c r="L16" s="1">
        <f t="shared" si="4"/>
        <v>2.5</v>
      </c>
      <c r="M16" s="3" t="s">
        <v>224</v>
      </c>
      <c r="N16" s="2">
        <v>46173</v>
      </c>
      <c r="P16" s="12">
        <f t="shared" si="1"/>
        <v>3.5</v>
      </c>
      <c r="Q16" s="12">
        <f t="shared" si="2"/>
        <v>2.5</v>
      </c>
      <c r="R16" s="12">
        <f t="shared" si="3"/>
        <v>2</v>
      </c>
    </row>
    <row r="17" spans="2:18" x14ac:dyDescent="0.2">
      <c r="B17">
        <v>5</v>
      </c>
      <c r="C17">
        <v>2026</v>
      </c>
      <c r="D17" s="1" t="s">
        <v>13</v>
      </c>
      <c r="E17" s="1" t="s">
        <v>98</v>
      </c>
      <c r="G17" s="1" t="s">
        <v>21</v>
      </c>
      <c r="H17" t="s">
        <v>172</v>
      </c>
      <c r="I17" s="1" t="s">
        <v>27</v>
      </c>
      <c r="J17" s="1" t="s">
        <v>29</v>
      </c>
      <c r="K17">
        <v>13114591</v>
      </c>
      <c r="L17" s="1">
        <f t="shared" si="4"/>
        <v>4</v>
      </c>
      <c r="M17" s="3" t="s">
        <v>224</v>
      </c>
      <c r="N17" s="2">
        <v>46173</v>
      </c>
      <c r="P17" s="12">
        <f t="shared" si="1"/>
        <v>5</v>
      </c>
      <c r="Q17" s="12">
        <f t="shared" si="2"/>
        <v>4</v>
      </c>
      <c r="R17" s="12">
        <f t="shared" si="3"/>
        <v>4</v>
      </c>
    </row>
    <row r="18" spans="2:18" x14ac:dyDescent="0.2">
      <c r="B18">
        <v>5</v>
      </c>
      <c r="C18">
        <v>2026</v>
      </c>
      <c r="D18" s="1" t="s">
        <v>13</v>
      </c>
      <c r="E18" s="1" t="s">
        <v>99</v>
      </c>
      <c r="G18" s="1" t="s">
        <v>15</v>
      </c>
      <c r="H18" t="s">
        <v>173</v>
      </c>
      <c r="I18" s="1" t="s">
        <v>27</v>
      </c>
      <c r="J18" s="1" t="s">
        <v>29</v>
      </c>
      <c r="K18">
        <v>11491353</v>
      </c>
      <c r="L18" s="1">
        <f t="shared" si="4"/>
        <v>3.5</v>
      </c>
      <c r="M18" s="3" t="s">
        <v>224</v>
      </c>
      <c r="N18" s="2">
        <v>46173</v>
      </c>
      <c r="P18" s="12">
        <f t="shared" si="1"/>
        <v>3.5</v>
      </c>
      <c r="Q18" s="12">
        <f t="shared" si="2"/>
        <v>2.5</v>
      </c>
      <c r="R18" s="12">
        <f t="shared" si="3"/>
        <v>2</v>
      </c>
    </row>
    <row r="19" spans="2:18" x14ac:dyDescent="0.2">
      <c r="B19">
        <v>5</v>
      </c>
      <c r="C19">
        <v>2026</v>
      </c>
      <c r="D19" s="1" t="s">
        <v>13</v>
      </c>
      <c r="E19" s="1" t="s">
        <v>100</v>
      </c>
      <c r="G19" s="1" t="s">
        <v>21</v>
      </c>
      <c r="H19" t="s">
        <v>174</v>
      </c>
      <c r="I19" s="1" t="s">
        <v>27</v>
      </c>
      <c r="J19" s="1" t="s">
        <v>29</v>
      </c>
      <c r="K19">
        <v>17295192</v>
      </c>
      <c r="L19" s="1">
        <f t="shared" si="4"/>
        <v>7</v>
      </c>
      <c r="M19" s="3" t="s">
        <v>224</v>
      </c>
      <c r="N19" s="2">
        <v>46173</v>
      </c>
      <c r="P19" s="12">
        <f t="shared" si="1"/>
        <v>8</v>
      </c>
      <c r="Q19" s="12">
        <f t="shared" si="2"/>
        <v>7</v>
      </c>
      <c r="R19" s="12">
        <f t="shared" si="3"/>
        <v>7</v>
      </c>
    </row>
    <row r="20" spans="2:18" x14ac:dyDescent="0.2">
      <c r="B20">
        <v>5</v>
      </c>
      <c r="C20">
        <v>2026</v>
      </c>
      <c r="D20" s="1" t="s">
        <v>13</v>
      </c>
      <c r="E20" s="1" t="s">
        <v>101</v>
      </c>
      <c r="G20" s="1" t="s">
        <v>15</v>
      </c>
      <c r="H20" t="s">
        <v>175</v>
      </c>
      <c r="I20" s="1" t="s">
        <v>27</v>
      </c>
      <c r="J20" s="1" t="s">
        <v>29</v>
      </c>
      <c r="K20">
        <v>11491353</v>
      </c>
      <c r="L20" s="1">
        <f t="shared" si="4"/>
        <v>3.5</v>
      </c>
      <c r="M20" s="3" t="s">
        <v>224</v>
      </c>
      <c r="N20" s="2">
        <v>46173</v>
      </c>
      <c r="P20" s="12">
        <f t="shared" si="1"/>
        <v>3.5</v>
      </c>
      <c r="Q20" s="12">
        <f t="shared" si="2"/>
        <v>2.5</v>
      </c>
      <c r="R20" s="12">
        <f t="shared" si="3"/>
        <v>2</v>
      </c>
    </row>
    <row r="21" spans="2:18" x14ac:dyDescent="0.2">
      <c r="B21">
        <v>5</v>
      </c>
      <c r="C21">
        <v>2026</v>
      </c>
      <c r="D21" s="1" t="s">
        <v>13</v>
      </c>
      <c r="E21" s="1" t="s">
        <v>102</v>
      </c>
      <c r="G21" s="1" t="s">
        <v>19</v>
      </c>
      <c r="H21" t="s">
        <v>176</v>
      </c>
      <c r="I21" s="1" t="s">
        <v>27</v>
      </c>
      <c r="J21" s="1" t="s">
        <v>29</v>
      </c>
      <c r="K21">
        <v>25934972</v>
      </c>
      <c r="L21" s="1">
        <f t="shared" si="4"/>
        <v>10</v>
      </c>
      <c r="M21" s="3" t="s">
        <v>224</v>
      </c>
      <c r="N21" s="2">
        <v>46173</v>
      </c>
      <c r="P21" s="12">
        <f t="shared" si="1"/>
        <v>10</v>
      </c>
      <c r="Q21" s="12">
        <f t="shared" si="2"/>
        <v>9</v>
      </c>
      <c r="R21" s="12">
        <f t="shared" si="3"/>
        <v>9</v>
      </c>
    </row>
    <row r="22" spans="2:18" x14ac:dyDescent="0.2">
      <c r="B22">
        <v>5</v>
      </c>
      <c r="C22">
        <v>2026</v>
      </c>
      <c r="D22" s="1" t="s">
        <v>13</v>
      </c>
      <c r="E22" s="1" t="s">
        <v>103</v>
      </c>
      <c r="G22" s="1" t="s">
        <v>15</v>
      </c>
      <c r="H22" t="s">
        <v>174</v>
      </c>
      <c r="I22" s="1" t="s">
        <v>27</v>
      </c>
      <c r="J22" s="1" t="s">
        <v>29</v>
      </c>
      <c r="K22">
        <v>11491353</v>
      </c>
      <c r="L22" s="1">
        <f t="shared" si="4"/>
        <v>3.5</v>
      </c>
      <c r="M22" s="3" t="s">
        <v>224</v>
      </c>
      <c r="N22" s="2">
        <v>46173</v>
      </c>
      <c r="P22" s="12">
        <f t="shared" si="1"/>
        <v>3.5</v>
      </c>
      <c r="Q22" s="12">
        <f t="shared" si="2"/>
        <v>2.5</v>
      </c>
      <c r="R22" s="12">
        <f t="shared" si="3"/>
        <v>2</v>
      </c>
    </row>
    <row r="23" spans="2:18" x14ac:dyDescent="0.2">
      <c r="B23">
        <v>5</v>
      </c>
      <c r="C23">
        <v>2026</v>
      </c>
      <c r="D23" s="1" t="s">
        <v>13</v>
      </c>
      <c r="E23" s="1" t="s">
        <v>104</v>
      </c>
      <c r="G23" s="1" t="s">
        <v>15</v>
      </c>
      <c r="H23" t="s">
        <v>175</v>
      </c>
      <c r="I23" s="1" t="s">
        <v>27</v>
      </c>
      <c r="J23" s="1" t="s">
        <v>29</v>
      </c>
      <c r="K23">
        <v>11491353</v>
      </c>
      <c r="L23" s="1">
        <f t="shared" si="4"/>
        <v>3.5</v>
      </c>
      <c r="M23" s="3" t="s">
        <v>224</v>
      </c>
      <c r="N23" s="2">
        <v>46173</v>
      </c>
      <c r="P23" s="12">
        <f t="shared" si="1"/>
        <v>3.5</v>
      </c>
      <c r="Q23" s="12">
        <f t="shared" si="2"/>
        <v>2.5</v>
      </c>
      <c r="R23" s="12">
        <f t="shared" si="3"/>
        <v>2</v>
      </c>
    </row>
    <row r="24" spans="2:18" x14ac:dyDescent="0.2">
      <c r="B24">
        <v>5</v>
      </c>
      <c r="C24">
        <v>2026</v>
      </c>
      <c r="D24" s="1" t="s">
        <v>13</v>
      </c>
      <c r="E24" s="1" t="s">
        <v>105</v>
      </c>
      <c r="G24" s="1" t="s">
        <v>22</v>
      </c>
      <c r="H24" t="s">
        <v>177</v>
      </c>
      <c r="I24" s="1" t="s">
        <v>27</v>
      </c>
      <c r="J24" s="1" t="s">
        <v>29</v>
      </c>
      <c r="K24">
        <v>12774887</v>
      </c>
      <c r="L24" s="1">
        <f t="shared" si="4"/>
        <v>3</v>
      </c>
      <c r="M24" s="3" t="s">
        <v>224</v>
      </c>
      <c r="N24" s="2">
        <v>46173</v>
      </c>
      <c r="P24" s="12">
        <f t="shared" si="1"/>
        <v>5</v>
      </c>
      <c r="Q24" s="12">
        <f t="shared" si="2"/>
        <v>4</v>
      </c>
      <c r="R24" s="12">
        <f t="shared" si="3"/>
        <v>3</v>
      </c>
    </row>
    <row r="25" spans="2:18" x14ac:dyDescent="0.2">
      <c r="B25">
        <v>5</v>
      </c>
      <c r="C25">
        <v>2026</v>
      </c>
      <c r="D25" s="1" t="s">
        <v>13</v>
      </c>
      <c r="E25" s="1" t="s">
        <v>106</v>
      </c>
      <c r="G25" s="1" t="s">
        <v>20</v>
      </c>
      <c r="H25" t="s">
        <v>174</v>
      </c>
      <c r="I25" s="1" t="s">
        <v>27</v>
      </c>
      <c r="J25" s="1" t="s">
        <v>29</v>
      </c>
      <c r="K25">
        <v>11491353</v>
      </c>
      <c r="L25" s="1">
        <f t="shared" si="4"/>
        <v>2.5</v>
      </c>
      <c r="M25" s="3" t="s">
        <v>224</v>
      </c>
      <c r="N25" s="2">
        <v>46173</v>
      </c>
      <c r="P25" s="12">
        <f t="shared" si="1"/>
        <v>3.5</v>
      </c>
      <c r="Q25" s="12">
        <f t="shared" si="2"/>
        <v>2.5</v>
      </c>
      <c r="R25" s="12">
        <f t="shared" si="3"/>
        <v>2</v>
      </c>
    </row>
    <row r="26" spans="2:18" x14ac:dyDescent="0.2">
      <c r="B26">
        <v>5</v>
      </c>
      <c r="C26">
        <v>2026</v>
      </c>
      <c r="D26" s="1" t="s">
        <v>13</v>
      </c>
      <c r="E26" s="1" t="s">
        <v>107</v>
      </c>
      <c r="G26" s="1" t="s">
        <v>15</v>
      </c>
      <c r="H26" t="s">
        <v>178</v>
      </c>
      <c r="I26" s="1" t="s">
        <v>27</v>
      </c>
      <c r="J26" s="1" t="s">
        <v>29</v>
      </c>
      <c r="K26">
        <v>12420491</v>
      </c>
      <c r="L26" s="1">
        <f t="shared" si="4"/>
        <v>4</v>
      </c>
      <c r="M26" s="3" t="s">
        <v>224</v>
      </c>
      <c r="N26" s="2">
        <v>46173</v>
      </c>
      <c r="P26" s="12">
        <f t="shared" si="1"/>
        <v>4</v>
      </c>
      <c r="Q26" s="12">
        <f t="shared" si="2"/>
        <v>3</v>
      </c>
      <c r="R26" s="12">
        <f t="shared" si="3"/>
        <v>3</v>
      </c>
    </row>
    <row r="27" spans="2:18" x14ac:dyDescent="0.2">
      <c r="B27">
        <v>5</v>
      </c>
      <c r="C27">
        <v>2026</v>
      </c>
      <c r="D27" s="1" t="s">
        <v>13</v>
      </c>
      <c r="E27" s="1" t="s">
        <v>108</v>
      </c>
      <c r="G27" s="1" t="s">
        <v>15</v>
      </c>
      <c r="H27" t="s">
        <v>174</v>
      </c>
      <c r="I27" s="1" t="s">
        <v>27</v>
      </c>
      <c r="J27" s="1" t="s">
        <v>29</v>
      </c>
      <c r="K27">
        <v>11491353</v>
      </c>
      <c r="L27" s="1">
        <f t="shared" si="4"/>
        <v>3.5</v>
      </c>
      <c r="M27" s="3" t="s">
        <v>224</v>
      </c>
      <c r="N27" s="2">
        <v>46173</v>
      </c>
      <c r="P27" s="12">
        <f t="shared" si="1"/>
        <v>3.5</v>
      </c>
      <c r="Q27" s="12">
        <f t="shared" si="2"/>
        <v>2.5</v>
      </c>
      <c r="R27" s="12">
        <f t="shared" si="3"/>
        <v>2</v>
      </c>
    </row>
    <row r="28" spans="2:18" x14ac:dyDescent="0.2">
      <c r="B28">
        <v>5</v>
      </c>
      <c r="C28">
        <v>2026</v>
      </c>
      <c r="D28" s="1" t="s">
        <v>13</v>
      </c>
      <c r="E28" s="1" t="s">
        <v>109</v>
      </c>
      <c r="G28" s="1" t="s">
        <v>20</v>
      </c>
      <c r="H28" t="s">
        <v>179</v>
      </c>
      <c r="I28" s="1" t="s">
        <v>27</v>
      </c>
      <c r="J28" s="1" t="s">
        <v>29</v>
      </c>
      <c r="K28">
        <v>13303303</v>
      </c>
      <c r="L28" s="1">
        <f t="shared" si="4"/>
        <v>4</v>
      </c>
      <c r="M28" s="3" t="s">
        <v>224</v>
      </c>
      <c r="N28" s="2">
        <v>46173</v>
      </c>
      <c r="P28" s="12">
        <f t="shared" si="1"/>
        <v>5</v>
      </c>
      <c r="Q28" s="12">
        <f t="shared" si="2"/>
        <v>4</v>
      </c>
      <c r="R28" s="12">
        <f t="shared" si="3"/>
        <v>4</v>
      </c>
    </row>
    <row r="29" spans="2:18" x14ac:dyDescent="0.2">
      <c r="B29">
        <v>5</v>
      </c>
      <c r="C29">
        <v>2026</v>
      </c>
      <c r="D29" s="1" t="s">
        <v>13</v>
      </c>
      <c r="E29" s="1" t="s">
        <v>110</v>
      </c>
      <c r="G29" s="1" t="s">
        <v>21</v>
      </c>
      <c r="H29" t="s">
        <v>180</v>
      </c>
      <c r="I29" s="1" t="s">
        <v>27</v>
      </c>
      <c r="J29" s="1" t="s">
        <v>29</v>
      </c>
      <c r="K29">
        <v>11491353</v>
      </c>
      <c r="L29" s="1">
        <f t="shared" si="4"/>
        <v>2.5</v>
      </c>
      <c r="M29" s="3" t="s">
        <v>224</v>
      </c>
      <c r="N29" s="2">
        <v>46173</v>
      </c>
      <c r="P29" s="12">
        <f t="shared" si="1"/>
        <v>3.5</v>
      </c>
      <c r="Q29" s="12">
        <f t="shared" si="2"/>
        <v>2.5</v>
      </c>
      <c r="R29" s="12">
        <f t="shared" si="3"/>
        <v>2</v>
      </c>
    </row>
    <row r="30" spans="2:18" x14ac:dyDescent="0.2">
      <c r="B30">
        <v>5</v>
      </c>
      <c r="C30">
        <v>2026</v>
      </c>
      <c r="D30" s="1" t="s">
        <v>13</v>
      </c>
      <c r="E30" s="1" t="s">
        <v>111</v>
      </c>
      <c r="G30" s="1" t="s">
        <v>15</v>
      </c>
      <c r="H30" t="s">
        <v>181</v>
      </c>
      <c r="I30" s="1" t="s">
        <v>27</v>
      </c>
      <c r="J30" s="1" t="s">
        <v>29</v>
      </c>
      <c r="K30">
        <v>13843229</v>
      </c>
      <c r="L30" s="1">
        <f t="shared" si="4"/>
        <v>6</v>
      </c>
      <c r="M30" s="3" t="s">
        <v>224</v>
      </c>
      <c r="N30" s="2">
        <v>46173</v>
      </c>
      <c r="P30" s="12">
        <f t="shared" si="1"/>
        <v>6</v>
      </c>
      <c r="Q30" s="12">
        <f t="shared" si="2"/>
        <v>5</v>
      </c>
      <c r="R30" s="12">
        <f t="shared" si="3"/>
        <v>4</v>
      </c>
    </row>
    <row r="31" spans="2:18" x14ac:dyDescent="0.2">
      <c r="B31">
        <v>5</v>
      </c>
      <c r="C31">
        <v>2026</v>
      </c>
      <c r="D31" s="1" t="s">
        <v>13</v>
      </c>
      <c r="E31" s="1" t="s">
        <v>112</v>
      </c>
      <c r="G31" s="1" t="s">
        <v>15</v>
      </c>
      <c r="H31" t="s">
        <v>182</v>
      </c>
      <c r="I31" s="1" t="s">
        <v>27</v>
      </c>
      <c r="J31" s="1" t="s">
        <v>29</v>
      </c>
      <c r="K31">
        <v>12774887</v>
      </c>
      <c r="L31" s="1">
        <f t="shared" si="4"/>
        <v>5</v>
      </c>
      <c r="M31" s="3" t="s">
        <v>224</v>
      </c>
      <c r="N31" s="2">
        <v>46173</v>
      </c>
      <c r="P31" s="12">
        <f t="shared" si="1"/>
        <v>5</v>
      </c>
      <c r="Q31" s="12">
        <f t="shared" si="2"/>
        <v>4</v>
      </c>
      <c r="R31" s="12">
        <f t="shared" si="3"/>
        <v>3</v>
      </c>
    </row>
    <row r="32" spans="2:18" x14ac:dyDescent="0.2">
      <c r="B32">
        <v>5</v>
      </c>
      <c r="C32">
        <v>2026</v>
      </c>
      <c r="D32" s="1" t="s">
        <v>13</v>
      </c>
      <c r="E32" s="1" t="s">
        <v>113</v>
      </c>
      <c r="G32" s="1" t="s">
        <v>15</v>
      </c>
      <c r="H32" t="s">
        <v>183</v>
      </c>
      <c r="I32" s="1" t="s">
        <v>27</v>
      </c>
      <c r="J32" s="1" t="s">
        <v>29</v>
      </c>
      <c r="K32">
        <v>11491353</v>
      </c>
      <c r="L32" s="1">
        <f t="shared" si="4"/>
        <v>3.5</v>
      </c>
      <c r="M32" s="3" t="s">
        <v>224</v>
      </c>
      <c r="N32" s="2">
        <v>46173</v>
      </c>
      <c r="P32" s="12">
        <f t="shared" si="1"/>
        <v>3.5</v>
      </c>
      <c r="Q32" s="12">
        <f t="shared" si="2"/>
        <v>2.5</v>
      </c>
      <c r="R32" s="12">
        <f t="shared" si="3"/>
        <v>2</v>
      </c>
    </row>
    <row r="33" spans="2:18" x14ac:dyDescent="0.2">
      <c r="B33">
        <v>5</v>
      </c>
      <c r="C33">
        <v>2026</v>
      </c>
      <c r="D33" s="1" t="s">
        <v>13</v>
      </c>
      <c r="E33" s="1" t="s">
        <v>114</v>
      </c>
      <c r="G33" s="1" t="s">
        <v>15</v>
      </c>
      <c r="H33" t="s">
        <v>183</v>
      </c>
      <c r="I33" s="1" t="s">
        <v>27</v>
      </c>
      <c r="J33" s="1" t="s">
        <v>29</v>
      </c>
      <c r="K33">
        <v>11491353</v>
      </c>
      <c r="L33" s="1">
        <f t="shared" si="4"/>
        <v>3.5</v>
      </c>
      <c r="M33" s="3" t="s">
        <v>224</v>
      </c>
      <c r="N33" s="2">
        <v>46173</v>
      </c>
      <c r="P33" s="12">
        <f t="shared" si="1"/>
        <v>3.5</v>
      </c>
      <c r="Q33" s="12">
        <f t="shared" si="2"/>
        <v>2.5</v>
      </c>
      <c r="R33" s="12">
        <f t="shared" si="3"/>
        <v>2</v>
      </c>
    </row>
    <row r="34" spans="2:18" x14ac:dyDescent="0.2">
      <c r="B34">
        <v>5</v>
      </c>
      <c r="C34">
        <v>2026</v>
      </c>
      <c r="D34" s="1" t="s">
        <v>13</v>
      </c>
      <c r="E34" s="1" t="s">
        <v>115</v>
      </c>
      <c r="G34" s="1" t="s">
        <v>20</v>
      </c>
      <c r="H34" t="s">
        <v>183</v>
      </c>
      <c r="I34" s="1" t="s">
        <v>27</v>
      </c>
      <c r="J34" s="1" t="s">
        <v>29</v>
      </c>
      <c r="K34">
        <v>11491353</v>
      </c>
      <c r="L34" s="1">
        <f t="shared" si="4"/>
        <v>2.5</v>
      </c>
      <c r="M34" s="3" t="s">
        <v>224</v>
      </c>
      <c r="N34" s="2">
        <v>46173</v>
      </c>
      <c r="P34" s="12">
        <f t="shared" si="1"/>
        <v>3.5</v>
      </c>
      <c r="Q34" s="12">
        <f t="shared" si="2"/>
        <v>2.5</v>
      </c>
      <c r="R34" s="12">
        <f t="shared" si="3"/>
        <v>2</v>
      </c>
    </row>
    <row r="35" spans="2:18" x14ac:dyDescent="0.2">
      <c r="B35">
        <v>5</v>
      </c>
      <c r="C35">
        <v>2026</v>
      </c>
      <c r="D35" s="1" t="s">
        <v>13</v>
      </c>
      <c r="E35" s="1" t="s">
        <v>116</v>
      </c>
      <c r="G35" s="1" t="s">
        <v>15</v>
      </c>
      <c r="H35" t="s">
        <v>183</v>
      </c>
      <c r="I35" s="1" t="s">
        <v>27</v>
      </c>
      <c r="J35" s="1" t="s">
        <v>29</v>
      </c>
      <c r="K35">
        <v>17295192</v>
      </c>
      <c r="L35" s="1">
        <f t="shared" si="4"/>
        <v>8</v>
      </c>
      <c r="M35" s="3" t="s">
        <v>224</v>
      </c>
      <c r="N35" s="2">
        <v>46173</v>
      </c>
      <c r="P35" s="12">
        <f t="shared" si="1"/>
        <v>8</v>
      </c>
      <c r="Q35" s="12">
        <f t="shared" si="2"/>
        <v>7</v>
      </c>
      <c r="R35" s="12">
        <f t="shared" si="3"/>
        <v>7</v>
      </c>
    </row>
    <row r="36" spans="2:18" x14ac:dyDescent="0.2">
      <c r="B36">
        <v>5</v>
      </c>
      <c r="C36">
        <v>2026</v>
      </c>
      <c r="D36" s="1" t="s">
        <v>13</v>
      </c>
      <c r="E36" s="1" t="s">
        <v>117</v>
      </c>
      <c r="G36" s="1" t="s">
        <v>15</v>
      </c>
      <c r="H36" t="s">
        <v>183</v>
      </c>
      <c r="I36" s="1" t="s">
        <v>27</v>
      </c>
      <c r="J36" s="1" t="s">
        <v>29</v>
      </c>
      <c r="K36">
        <v>11491353</v>
      </c>
      <c r="L36" s="1">
        <f t="shared" si="4"/>
        <v>3.5</v>
      </c>
      <c r="M36" s="3" t="s">
        <v>224</v>
      </c>
      <c r="N36" s="2">
        <v>46173</v>
      </c>
      <c r="P36" s="12">
        <f t="shared" si="1"/>
        <v>3.5</v>
      </c>
      <c r="Q36" s="12">
        <f t="shared" si="2"/>
        <v>2.5</v>
      </c>
      <c r="R36" s="12">
        <f t="shared" si="3"/>
        <v>2</v>
      </c>
    </row>
    <row r="37" spans="2:18" x14ac:dyDescent="0.2">
      <c r="B37">
        <v>5</v>
      </c>
      <c r="C37">
        <v>2026</v>
      </c>
      <c r="D37" s="1" t="s">
        <v>13</v>
      </c>
      <c r="E37" s="1" t="s">
        <v>118</v>
      </c>
      <c r="G37" s="1" t="s">
        <v>20</v>
      </c>
      <c r="H37" t="s">
        <v>183</v>
      </c>
      <c r="I37" s="1" t="s">
        <v>27</v>
      </c>
      <c r="J37" s="1" t="s">
        <v>29</v>
      </c>
      <c r="K37">
        <v>11491353</v>
      </c>
      <c r="L37" s="1">
        <f t="shared" si="4"/>
        <v>2.5</v>
      </c>
      <c r="M37" s="3" t="s">
        <v>224</v>
      </c>
      <c r="N37" s="2">
        <v>46173</v>
      </c>
      <c r="P37" s="12">
        <f t="shared" si="1"/>
        <v>3.5</v>
      </c>
      <c r="Q37" s="12">
        <f t="shared" si="2"/>
        <v>2.5</v>
      </c>
      <c r="R37" s="12">
        <f t="shared" si="3"/>
        <v>2</v>
      </c>
    </row>
    <row r="38" spans="2:18" x14ac:dyDescent="0.2">
      <c r="B38">
        <v>5</v>
      </c>
      <c r="C38">
        <v>2026</v>
      </c>
      <c r="D38" s="1" t="s">
        <v>13</v>
      </c>
      <c r="E38" s="1" t="s">
        <v>119</v>
      </c>
      <c r="G38" s="1" t="s">
        <v>20</v>
      </c>
      <c r="H38" t="s">
        <v>184</v>
      </c>
      <c r="I38" s="1" t="s">
        <v>27</v>
      </c>
      <c r="J38" s="1" t="s">
        <v>29</v>
      </c>
      <c r="K38">
        <v>20612441</v>
      </c>
      <c r="L38" s="1">
        <f t="shared" si="4"/>
        <v>8</v>
      </c>
      <c r="M38" s="3" t="s">
        <v>224</v>
      </c>
      <c r="N38" s="2">
        <v>46173</v>
      </c>
      <c r="P38" s="12">
        <f t="shared" si="1"/>
        <v>9</v>
      </c>
      <c r="Q38" s="12">
        <f t="shared" si="2"/>
        <v>8</v>
      </c>
      <c r="R38" s="12">
        <f t="shared" si="3"/>
        <v>8</v>
      </c>
    </row>
    <row r="39" spans="2:18" x14ac:dyDescent="0.2">
      <c r="B39">
        <v>5</v>
      </c>
      <c r="C39">
        <v>2026</v>
      </c>
      <c r="D39" s="1" t="s">
        <v>13</v>
      </c>
      <c r="E39" s="1" t="s">
        <v>120</v>
      </c>
      <c r="G39" s="1" t="s">
        <v>15</v>
      </c>
      <c r="H39" t="s">
        <v>185</v>
      </c>
      <c r="I39" s="1" t="s">
        <v>27</v>
      </c>
      <c r="J39" s="1" t="s">
        <v>29</v>
      </c>
      <c r="K39">
        <v>17295192</v>
      </c>
      <c r="L39" s="1">
        <f t="shared" si="4"/>
        <v>8</v>
      </c>
      <c r="M39" s="3" t="s">
        <v>224</v>
      </c>
      <c r="N39" s="2">
        <v>46173</v>
      </c>
      <c r="P39" s="12">
        <f t="shared" si="1"/>
        <v>8</v>
      </c>
      <c r="Q39" s="12">
        <f t="shared" si="2"/>
        <v>7</v>
      </c>
      <c r="R39" s="12">
        <f t="shared" si="3"/>
        <v>7</v>
      </c>
    </row>
    <row r="40" spans="2:18" x14ac:dyDescent="0.2">
      <c r="B40">
        <v>5</v>
      </c>
      <c r="C40">
        <v>2026</v>
      </c>
      <c r="D40" s="1" t="s">
        <v>13</v>
      </c>
      <c r="E40" s="1" t="s">
        <v>121</v>
      </c>
      <c r="G40" s="1" t="s">
        <v>21</v>
      </c>
      <c r="H40" t="s">
        <v>186</v>
      </c>
      <c r="I40" s="1" t="s">
        <v>27</v>
      </c>
      <c r="J40" s="1" t="s">
        <v>29</v>
      </c>
      <c r="K40">
        <v>12774887</v>
      </c>
      <c r="L40" s="1">
        <f t="shared" si="4"/>
        <v>4</v>
      </c>
      <c r="M40" s="3" t="s">
        <v>224</v>
      </c>
      <c r="N40" s="2">
        <v>46173</v>
      </c>
      <c r="P40" s="12">
        <f t="shared" si="1"/>
        <v>5</v>
      </c>
      <c r="Q40" s="12">
        <f t="shared" si="2"/>
        <v>4</v>
      </c>
      <c r="R40" s="12">
        <f t="shared" si="3"/>
        <v>3</v>
      </c>
    </row>
    <row r="41" spans="2:18" x14ac:dyDescent="0.2">
      <c r="B41">
        <v>5</v>
      </c>
      <c r="C41">
        <v>2026</v>
      </c>
      <c r="D41" s="1" t="s">
        <v>13</v>
      </c>
      <c r="E41" s="1" t="s">
        <v>122</v>
      </c>
      <c r="G41" s="1" t="s">
        <v>21</v>
      </c>
      <c r="H41" t="s">
        <v>186</v>
      </c>
      <c r="I41" s="1" t="s">
        <v>27</v>
      </c>
      <c r="J41" s="1" t="s">
        <v>29</v>
      </c>
      <c r="K41">
        <v>12990889</v>
      </c>
      <c r="L41" s="1">
        <f t="shared" si="4"/>
        <v>4</v>
      </c>
      <c r="M41" s="3" t="s">
        <v>224</v>
      </c>
      <c r="N41" s="2">
        <v>46173</v>
      </c>
      <c r="P41" s="12">
        <f t="shared" si="1"/>
        <v>5</v>
      </c>
      <c r="Q41" s="12">
        <f t="shared" si="2"/>
        <v>4</v>
      </c>
      <c r="R41" s="12">
        <f t="shared" si="3"/>
        <v>4</v>
      </c>
    </row>
    <row r="42" spans="2:18" x14ac:dyDescent="0.2">
      <c r="B42">
        <v>5</v>
      </c>
      <c r="C42">
        <v>2026</v>
      </c>
      <c r="D42" s="1" t="s">
        <v>13</v>
      </c>
      <c r="E42" s="1" t="s">
        <v>123</v>
      </c>
      <c r="G42" s="1" t="s">
        <v>20</v>
      </c>
      <c r="H42" t="s">
        <v>187</v>
      </c>
      <c r="I42" s="1" t="s">
        <v>27</v>
      </c>
      <c r="J42" s="1" t="s">
        <v>29</v>
      </c>
      <c r="K42">
        <v>11906595</v>
      </c>
      <c r="L42" s="1">
        <f t="shared" si="4"/>
        <v>3</v>
      </c>
      <c r="M42" s="3" t="s">
        <v>224</v>
      </c>
      <c r="N42" s="2">
        <v>46173</v>
      </c>
      <c r="P42" s="12">
        <f t="shared" si="1"/>
        <v>4</v>
      </c>
      <c r="Q42" s="12">
        <f t="shared" si="2"/>
        <v>3</v>
      </c>
      <c r="R42" s="12">
        <f t="shared" si="3"/>
        <v>2</v>
      </c>
    </row>
    <row r="43" spans="2:18" x14ac:dyDescent="0.2">
      <c r="B43">
        <v>5</v>
      </c>
      <c r="C43">
        <v>2026</v>
      </c>
      <c r="D43" s="1" t="s">
        <v>13</v>
      </c>
      <c r="E43" s="1" t="s">
        <v>124</v>
      </c>
      <c r="G43" s="1" t="s">
        <v>15</v>
      </c>
      <c r="H43" t="s">
        <v>186</v>
      </c>
      <c r="I43" s="1" t="s">
        <v>27</v>
      </c>
      <c r="J43" s="1" t="s">
        <v>29</v>
      </c>
      <c r="K43">
        <v>12420491</v>
      </c>
      <c r="L43" s="1">
        <f t="shared" si="4"/>
        <v>4</v>
      </c>
      <c r="M43" s="3" t="s">
        <v>224</v>
      </c>
      <c r="N43" s="2">
        <v>46173</v>
      </c>
      <c r="P43" s="12">
        <f t="shared" si="1"/>
        <v>4</v>
      </c>
      <c r="Q43" s="12">
        <f t="shared" si="2"/>
        <v>3</v>
      </c>
      <c r="R43" s="12">
        <f t="shared" si="3"/>
        <v>3</v>
      </c>
    </row>
    <row r="44" spans="2:18" x14ac:dyDescent="0.2">
      <c r="B44">
        <v>5</v>
      </c>
      <c r="C44">
        <v>2026</v>
      </c>
      <c r="D44" s="1" t="s">
        <v>13</v>
      </c>
      <c r="E44" s="1" t="s">
        <v>125</v>
      </c>
      <c r="G44" s="1" t="s">
        <v>15</v>
      </c>
      <c r="H44" t="s">
        <v>185</v>
      </c>
      <c r="I44" s="1" t="s">
        <v>27</v>
      </c>
      <c r="J44" s="1" t="s">
        <v>29</v>
      </c>
      <c r="K44">
        <v>11491353</v>
      </c>
      <c r="L44" s="1">
        <f t="shared" si="4"/>
        <v>3.5</v>
      </c>
      <c r="M44" s="3" t="s">
        <v>224</v>
      </c>
      <c r="N44" s="2">
        <v>46173</v>
      </c>
      <c r="P44" s="12">
        <f t="shared" si="1"/>
        <v>3.5</v>
      </c>
      <c r="Q44" s="12">
        <f t="shared" si="2"/>
        <v>2.5</v>
      </c>
      <c r="R44" s="12">
        <f t="shared" si="3"/>
        <v>2</v>
      </c>
    </row>
    <row r="45" spans="2:18" x14ac:dyDescent="0.2">
      <c r="B45">
        <v>5</v>
      </c>
      <c r="C45">
        <v>2026</v>
      </c>
      <c r="D45" s="1" t="s">
        <v>13</v>
      </c>
      <c r="E45" s="1" t="s">
        <v>126</v>
      </c>
      <c r="G45" s="1" t="s">
        <v>15</v>
      </c>
      <c r="H45" t="s">
        <v>188</v>
      </c>
      <c r="I45" s="1" t="s">
        <v>27</v>
      </c>
      <c r="J45" s="1" t="s">
        <v>29</v>
      </c>
      <c r="K45">
        <v>25206683</v>
      </c>
      <c r="L45" s="1">
        <f t="shared" si="4"/>
        <v>10</v>
      </c>
      <c r="M45" s="3" t="s">
        <v>224</v>
      </c>
      <c r="N45" s="2">
        <v>46173</v>
      </c>
      <c r="P45" s="12">
        <f t="shared" si="1"/>
        <v>10</v>
      </c>
      <c r="Q45" s="12">
        <f t="shared" si="2"/>
        <v>9</v>
      </c>
      <c r="R45" s="12">
        <f t="shared" si="3"/>
        <v>9</v>
      </c>
    </row>
    <row r="46" spans="2:18" x14ac:dyDescent="0.2">
      <c r="B46">
        <v>5</v>
      </c>
      <c r="C46">
        <v>2026</v>
      </c>
      <c r="D46" s="1" t="s">
        <v>13</v>
      </c>
      <c r="E46" s="1" t="s">
        <v>127</v>
      </c>
      <c r="G46" s="1" t="s">
        <v>21</v>
      </c>
      <c r="H46" t="s">
        <v>189</v>
      </c>
      <c r="I46" s="1" t="s">
        <v>27</v>
      </c>
      <c r="J46" s="1" t="s">
        <v>29</v>
      </c>
      <c r="K46">
        <v>13129283</v>
      </c>
      <c r="L46" s="1">
        <f t="shared" si="4"/>
        <v>4</v>
      </c>
      <c r="M46" s="3" t="s">
        <v>224</v>
      </c>
      <c r="N46" s="2">
        <v>46173</v>
      </c>
      <c r="P46" s="12">
        <f t="shared" si="1"/>
        <v>5</v>
      </c>
      <c r="Q46" s="12">
        <f t="shared" si="2"/>
        <v>4</v>
      </c>
      <c r="R46" s="12">
        <f t="shared" si="3"/>
        <v>4</v>
      </c>
    </row>
    <row r="47" spans="2:18" x14ac:dyDescent="0.2">
      <c r="B47">
        <v>5</v>
      </c>
      <c r="C47">
        <v>2026</v>
      </c>
      <c r="D47" s="1" t="s">
        <v>13</v>
      </c>
      <c r="E47" s="1" t="s">
        <v>128</v>
      </c>
      <c r="G47" s="1" t="s">
        <v>19</v>
      </c>
      <c r="H47" t="s">
        <v>190</v>
      </c>
      <c r="I47" s="1" t="s">
        <v>27</v>
      </c>
      <c r="J47" s="1" t="s">
        <v>29</v>
      </c>
      <c r="K47">
        <v>11491353</v>
      </c>
      <c r="L47" s="1">
        <f t="shared" si="4"/>
        <v>3.5</v>
      </c>
      <c r="M47" s="3" t="s">
        <v>224</v>
      </c>
      <c r="N47" s="2">
        <v>46173</v>
      </c>
      <c r="P47" s="12">
        <f t="shared" si="1"/>
        <v>3.5</v>
      </c>
      <c r="Q47" s="12">
        <f t="shared" si="2"/>
        <v>2.5</v>
      </c>
      <c r="R47" s="12">
        <f t="shared" si="3"/>
        <v>2</v>
      </c>
    </row>
    <row r="48" spans="2:18" x14ac:dyDescent="0.2">
      <c r="B48">
        <v>5</v>
      </c>
      <c r="C48">
        <v>2026</v>
      </c>
      <c r="D48" s="1" t="s">
        <v>13</v>
      </c>
      <c r="E48" s="1" t="s">
        <v>129</v>
      </c>
      <c r="G48" s="1" t="s">
        <v>15</v>
      </c>
      <c r="H48" t="s">
        <v>191</v>
      </c>
      <c r="I48" s="1" t="s">
        <v>27</v>
      </c>
      <c r="J48" s="1" t="s">
        <v>29</v>
      </c>
      <c r="K48">
        <v>17295192</v>
      </c>
      <c r="L48" s="1">
        <f t="shared" si="4"/>
        <v>8</v>
      </c>
      <c r="M48" s="3" t="s">
        <v>224</v>
      </c>
      <c r="N48" s="2">
        <v>46173</v>
      </c>
      <c r="P48" s="12">
        <f t="shared" si="1"/>
        <v>8</v>
      </c>
      <c r="Q48" s="12">
        <f t="shared" si="2"/>
        <v>7</v>
      </c>
      <c r="R48" s="12">
        <f t="shared" si="3"/>
        <v>7</v>
      </c>
    </row>
    <row r="49" spans="2:18" x14ac:dyDescent="0.2">
      <c r="B49">
        <v>5</v>
      </c>
      <c r="C49">
        <v>2026</v>
      </c>
      <c r="D49" s="1" t="s">
        <v>13</v>
      </c>
      <c r="E49" s="1" t="s">
        <v>130</v>
      </c>
      <c r="G49" s="1" t="s">
        <v>21</v>
      </c>
      <c r="H49" t="s">
        <v>192</v>
      </c>
      <c r="I49" s="1" t="s">
        <v>27</v>
      </c>
      <c r="J49" s="1" t="s">
        <v>29</v>
      </c>
      <c r="K49">
        <v>12774887</v>
      </c>
      <c r="L49" s="1">
        <f t="shared" si="4"/>
        <v>4</v>
      </c>
      <c r="M49" s="3" t="s">
        <v>224</v>
      </c>
      <c r="N49" s="2">
        <v>46173</v>
      </c>
      <c r="P49" s="12">
        <f t="shared" si="1"/>
        <v>5</v>
      </c>
      <c r="Q49" s="12">
        <f t="shared" si="2"/>
        <v>4</v>
      </c>
      <c r="R49" s="12">
        <f t="shared" si="3"/>
        <v>3</v>
      </c>
    </row>
    <row r="50" spans="2:18" x14ac:dyDescent="0.2">
      <c r="B50">
        <v>5</v>
      </c>
      <c r="C50">
        <v>2026</v>
      </c>
      <c r="D50" s="1" t="s">
        <v>13</v>
      </c>
      <c r="E50" s="1" t="s">
        <v>131</v>
      </c>
      <c r="G50" s="1" t="s">
        <v>21</v>
      </c>
      <c r="H50" t="s">
        <v>193</v>
      </c>
      <c r="I50" s="1" t="s">
        <v>27</v>
      </c>
      <c r="J50" s="1" t="s">
        <v>29</v>
      </c>
      <c r="K50">
        <v>27052650</v>
      </c>
      <c r="L50" s="1">
        <f t="shared" si="4"/>
        <v>10</v>
      </c>
      <c r="M50" s="3" t="s">
        <v>224</v>
      </c>
      <c r="N50" s="2">
        <v>46173</v>
      </c>
      <c r="P50" s="12">
        <f t="shared" si="1"/>
        <v>11</v>
      </c>
      <c r="Q50" s="12">
        <f t="shared" si="2"/>
        <v>10</v>
      </c>
      <c r="R50" s="12">
        <f t="shared" si="3"/>
        <v>10</v>
      </c>
    </row>
    <row r="51" spans="2:18" x14ac:dyDescent="0.2">
      <c r="B51">
        <v>5</v>
      </c>
      <c r="C51">
        <v>2026</v>
      </c>
      <c r="D51" s="1" t="s">
        <v>13</v>
      </c>
      <c r="E51" s="1" t="s">
        <v>132</v>
      </c>
      <c r="G51" s="1" t="s">
        <v>22</v>
      </c>
      <c r="H51" t="s">
        <v>194</v>
      </c>
      <c r="I51" s="1" t="s">
        <v>27</v>
      </c>
      <c r="J51" s="1" t="s">
        <v>29</v>
      </c>
      <c r="K51">
        <v>11491353</v>
      </c>
      <c r="L51" s="1">
        <f t="shared" si="4"/>
        <v>2</v>
      </c>
      <c r="M51" s="3" t="s">
        <v>224</v>
      </c>
      <c r="N51" s="2">
        <v>46173</v>
      </c>
      <c r="P51" s="12">
        <f t="shared" si="1"/>
        <v>3.5</v>
      </c>
      <c r="Q51" s="12">
        <f t="shared" si="2"/>
        <v>2.5</v>
      </c>
      <c r="R51" s="12">
        <f t="shared" si="3"/>
        <v>2</v>
      </c>
    </row>
    <row r="52" spans="2:18" x14ac:dyDescent="0.2">
      <c r="B52">
        <v>5</v>
      </c>
      <c r="C52">
        <v>2026</v>
      </c>
      <c r="D52" s="1" t="s">
        <v>13</v>
      </c>
      <c r="E52" s="1" t="s">
        <v>133</v>
      </c>
      <c r="G52" s="1" t="s">
        <v>20</v>
      </c>
      <c r="H52" t="s">
        <v>192</v>
      </c>
      <c r="I52" s="1" t="s">
        <v>27</v>
      </c>
      <c r="J52" s="1" t="s">
        <v>29</v>
      </c>
      <c r="K52">
        <v>27078770</v>
      </c>
      <c r="L52" s="1">
        <f t="shared" ref="L52:L58" si="5">IF(OR(G52="TK/0",G52="TK/1",G52="K/0",G52="HB/0",G52="HB/1"),P52,IF(OR(G52="TK/2",G52="TK/3",G52="K/1",G52="K/2",G52="HB/2",G52="HB/3"),Q52,R52))</f>
        <v>10</v>
      </c>
      <c r="M52" s="3" t="s">
        <v>224</v>
      </c>
      <c r="N52" s="2">
        <v>46173</v>
      </c>
      <c r="P52" s="12">
        <f t="shared" si="1"/>
        <v>11</v>
      </c>
      <c r="Q52" s="12">
        <f t="shared" si="2"/>
        <v>10</v>
      </c>
      <c r="R52" s="12">
        <f t="shared" si="3"/>
        <v>10</v>
      </c>
    </row>
    <row r="53" spans="2:18" x14ac:dyDescent="0.2">
      <c r="B53">
        <v>5</v>
      </c>
      <c r="C53">
        <v>2026</v>
      </c>
      <c r="D53" s="1" t="s">
        <v>13</v>
      </c>
      <c r="E53" s="1" t="s">
        <v>134</v>
      </c>
      <c r="G53" s="1" t="s">
        <v>15</v>
      </c>
      <c r="H53" t="s">
        <v>195</v>
      </c>
      <c r="I53" s="1" t="s">
        <v>27</v>
      </c>
      <c r="J53" s="1" t="s">
        <v>29</v>
      </c>
      <c r="K53">
        <v>18434504</v>
      </c>
      <c r="L53" s="1">
        <f t="shared" si="5"/>
        <v>8</v>
      </c>
      <c r="M53" s="3" t="s">
        <v>224</v>
      </c>
      <c r="N53" s="2">
        <v>46173</v>
      </c>
      <c r="P53" s="12">
        <f t="shared" si="1"/>
        <v>8</v>
      </c>
      <c r="Q53" s="12">
        <f t="shared" si="2"/>
        <v>7</v>
      </c>
      <c r="R53" s="12">
        <f t="shared" si="3"/>
        <v>7</v>
      </c>
    </row>
    <row r="54" spans="2:18" x14ac:dyDescent="0.2">
      <c r="B54">
        <v>5</v>
      </c>
      <c r="C54">
        <v>2026</v>
      </c>
      <c r="D54" s="1" t="s">
        <v>13</v>
      </c>
      <c r="E54" s="1" t="s">
        <v>135</v>
      </c>
      <c r="G54" s="1" t="s">
        <v>15</v>
      </c>
      <c r="H54" t="s">
        <v>196</v>
      </c>
      <c r="I54" s="1" t="s">
        <v>27</v>
      </c>
      <c r="J54" s="1" t="s">
        <v>29</v>
      </c>
      <c r="K54">
        <v>11491353</v>
      </c>
      <c r="L54" s="1">
        <f t="shared" si="5"/>
        <v>3.5</v>
      </c>
      <c r="M54" s="3" t="s">
        <v>224</v>
      </c>
      <c r="N54" s="2">
        <v>46173</v>
      </c>
      <c r="P54" s="12">
        <f t="shared" si="1"/>
        <v>3.5</v>
      </c>
      <c r="Q54" s="12">
        <f t="shared" si="2"/>
        <v>2.5</v>
      </c>
      <c r="R54" s="12">
        <f t="shared" si="3"/>
        <v>2</v>
      </c>
    </row>
    <row r="55" spans="2:18" x14ac:dyDescent="0.2">
      <c r="B55">
        <v>5</v>
      </c>
      <c r="C55">
        <v>2026</v>
      </c>
      <c r="D55" s="1" t="s">
        <v>13</v>
      </c>
      <c r="E55" s="1" t="s">
        <v>136</v>
      </c>
      <c r="G55" s="1" t="s">
        <v>20</v>
      </c>
      <c r="H55" t="s">
        <v>197</v>
      </c>
      <c r="I55" s="1" t="s">
        <v>27</v>
      </c>
      <c r="J55" s="1" t="s">
        <v>29</v>
      </c>
      <c r="K55">
        <v>15703302</v>
      </c>
      <c r="L55" s="1">
        <f t="shared" si="5"/>
        <v>6</v>
      </c>
      <c r="M55" s="3" t="s">
        <v>224</v>
      </c>
      <c r="N55" s="2">
        <v>46173</v>
      </c>
      <c r="P55" s="12">
        <f t="shared" si="1"/>
        <v>7</v>
      </c>
      <c r="Q55" s="12">
        <f t="shared" si="2"/>
        <v>6</v>
      </c>
      <c r="R55" s="12">
        <f t="shared" si="3"/>
        <v>6</v>
      </c>
    </row>
    <row r="56" spans="2:18" x14ac:dyDescent="0.2">
      <c r="B56">
        <v>5</v>
      </c>
      <c r="C56">
        <v>2026</v>
      </c>
      <c r="D56" s="1" t="s">
        <v>13</v>
      </c>
      <c r="E56" s="1" t="s">
        <v>137</v>
      </c>
      <c r="G56" s="1" t="s">
        <v>15</v>
      </c>
      <c r="H56" t="s">
        <v>198</v>
      </c>
      <c r="I56" s="1" t="s">
        <v>27</v>
      </c>
      <c r="J56" s="1" t="s">
        <v>29</v>
      </c>
      <c r="K56">
        <v>12420491</v>
      </c>
      <c r="L56" s="1">
        <f t="shared" si="5"/>
        <v>4</v>
      </c>
      <c r="M56" s="3" t="s">
        <v>224</v>
      </c>
      <c r="N56" s="2">
        <v>46173</v>
      </c>
      <c r="P56" s="12">
        <f t="shared" si="1"/>
        <v>4</v>
      </c>
      <c r="Q56" s="12">
        <f t="shared" si="2"/>
        <v>3</v>
      </c>
      <c r="R56" s="12">
        <f t="shared" si="3"/>
        <v>3</v>
      </c>
    </row>
    <row r="57" spans="2:18" x14ac:dyDescent="0.2">
      <c r="B57">
        <v>5</v>
      </c>
      <c r="C57">
        <v>2026</v>
      </c>
      <c r="D57" s="1" t="s">
        <v>13</v>
      </c>
      <c r="E57" s="1" t="s">
        <v>138</v>
      </c>
      <c r="G57" s="1" t="s">
        <v>21</v>
      </c>
      <c r="H57" t="s">
        <v>194</v>
      </c>
      <c r="I57" s="1" t="s">
        <v>27</v>
      </c>
      <c r="J57" s="1" t="s">
        <v>29</v>
      </c>
      <c r="K57">
        <v>11491353</v>
      </c>
      <c r="L57" s="1">
        <f t="shared" si="5"/>
        <v>2.5</v>
      </c>
      <c r="M57" s="3" t="s">
        <v>224</v>
      </c>
      <c r="N57" s="2">
        <v>46173</v>
      </c>
      <c r="P57" s="12">
        <f t="shared" si="1"/>
        <v>3.5</v>
      </c>
      <c r="Q57" s="12">
        <f t="shared" si="2"/>
        <v>2.5</v>
      </c>
      <c r="R57" s="12">
        <f t="shared" si="3"/>
        <v>2</v>
      </c>
    </row>
    <row r="58" spans="2:18" x14ac:dyDescent="0.2">
      <c r="B58">
        <v>5</v>
      </c>
      <c r="C58">
        <v>2026</v>
      </c>
      <c r="D58" s="1" t="s">
        <v>13</v>
      </c>
      <c r="E58" s="1" t="s">
        <v>139</v>
      </c>
      <c r="G58" s="1" t="s">
        <v>20</v>
      </c>
      <c r="H58" t="s">
        <v>199</v>
      </c>
      <c r="I58" s="1" t="s">
        <v>27</v>
      </c>
      <c r="J58" s="1" t="s">
        <v>29</v>
      </c>
      <c r="K58">
        <v>12420491</v>
      </c>
      <c r="L58" s="1">
        <f t="shared" si="5"/>
        <v>3</v>
      </c>
      <c r="M58" s="3" t="s">
        <v>224</v>
      </c>
      <c r="N58" s="2">
        <v>46173</v>
      </c>
      <c r="P58" s="12">
        <f t="shared" si="1"/>
        <v>4</v>
      </c>
      <c r="Q58" s="12">
        <f t="shared" si="2"/>
        <v>3</v>
      </c>
      <c r="R58" s="12">
        <f t="shared" si="3"/>
        <v>3</v>
      </c>
    </row>
    <row r="59" spans="2:18" x14ac:dyDescent="0.2">
      <c r="B59">
        <v>5</v>
      </c>
      <c r="C59">
        <v>2026</v>
      </c>
      <c r="D59" s="1" t="s">
        <v>13</v>
      </c>
      <c r="E59" s="1" t="s">
        <v>140</v>
      </c>
      <c r="G59" s="1" t="s">
        <v>22</v>
      </c>
      <c r="H59" t="s">
        <v>200</v>
      </c>
      <c r="I59" s="1" t="s">
        <v>27</v>
      </c>
      <c r="J59" s="1" t="s">
        <v>29</v>
      </c>
      <c r="K59">
        <v>20647941</v>
      </c>
      <c r="L59" s="1">
        <f t="shared" ref="L59:L75" si="6">IF(OR(G59="TK/0",G59="TK/1",G59="K/0",G59="HB/0",G59="HB/1"),P59,IF(OR(G59="TK/2",G59="TK/3",G59="K/1",G59="K/2",G59="HB/2",G59="HB/3"),Q59,R59))</f>
        <v>8</v>
      </c>
      <c r="M59" s="3" t="s">
        <v>224</v>
      </c>
      <c r="N59" s="2">
        <v>46173</v>
      </c>
      <c r="P59" s="12">
        <f t="shared" si="1"/>
        <v>9</v>
      </c>
      <c r="Q59" s="12">
        <f t="shared" si="2"/>
        <v>8</v>
      </c>
      <c r="R59" s="12">
        <f t="shared" si="3"/>
        <v>8</v>
      </c>
    </row>
    <row r="60" spans="2:18" x14ac:dyDescent="0.2">
      <c r="B60">
        <v>5</v>
      </c>
      <c r="C60">
        <v>2026</v>
      </c>
      <c r="D60" s="1" t="s">
        <v>13</v>
      </c>
      <c r="E60" s="1" t="s">
        <v>141</v>
      </c>
      <c r="G60" s="1" t="s">
        <v>15</v>
      </c>
      <c r="H60" t="s">
        <v>201</v>
      </c>
      <c r="I60" s="1" t="s">
        <v>27</v>
      </c>
      <c r="J60" s="1" t="s">
        <v>29</v>
      </c>
      <c r="K60">
        <v>19258560</v>
      </c>
      <c r="L60" s="1">
        <f t="shared" si="6"/>
        <v>8</v>
      </c>
      <c r="M60" s="3" t="s">
        <v>224</v>
      </c>
      <c r="N60" s="2">
        <v>46173</v>
      </c>
      <c r="P60" s="12">
        <f t="shared" si="1"/>
        <v>8</v>
      </c>
      <c r="Q60" s="12">
        <f t="shared" si="2"/>
        <v>8</v>
      </c>
      <c r="R60" s="12">
        <f t="shared" si="3"/>
        <v>7</v>
      </c>
    </row>
    <row r="61" spans="2:18" x14ac:dyDescent="0.2">
      <c r="B61">
        <v>5</v>
      </c>
      <c r="C61">
        <v>2026</v>
      </c>
      <c r="D61" s="1" t="s">
        <v>13</v>
      </c>
      <c r="E61" s="1" t="s">
        <v>142</v>
      </c>
      <c r="G61" s="1" t="s">
        <v>15</v>
      </c>
      <c r="H61" t="s">
        <v>202</v>
      </c>
      <c r="I61" s="1" t="s">
        <v>27</v>
      </c>
      <c r="J61" s="1" t="s">
        <v>29</v>
      </c>
      <c r="K61">
        <v>11491353</v>
      </c>
      <c r="L61" s="1">
        <f t="shared" si="6"/>
        <v>3.5</v>
      </c>
      <c r="M61" s="3" t="s">
        <v>224</v>
      </c>
      <c r="N61" s="2">
        <v>46173</v>
      </c>
      <c r="P61" s="12">
        <f t="shared" si="1"/>
        <v>3.5</v>
      </c>
      <c r="Q61" s="12">
        <f t="shared" si="2"/>
        <v>2.5</v>
      </c>
      <c r="R61" s="12">
        <f t="shared" si="3"/>
        <v>2</v>
      </c>
    </row>
    <row r="62" spans="2:18" x14ac:dyDescent="0.2">
      <c r="B62">
        <v>5</v>
      </c>
      <c r="C62">
        <v>2026</v>
      </c>
      <c r="D62" s="1" t="s">
        <v>13</v>
      </c>
      <c r="E62" s="1" t="s">
        <v>143</v>
      </c>
      <c r="G62" s="1" t="s">
        <v>15</v>
      </c>
      <c r="H62" t="s">
        <v>203</v>
      </c>
      <c r="I62" s="1" t="s">
        <v>27</v>
      </c>
      <c r="J62" s="1" t="s">
        <v>29</v>
      </c>
      <c r="K62">
        <v>14583155</v>
      </c>
      <c r="L62" s="1">
        <f t="shared" si="6"/>
        <v>6</v>
      </c>
      <c r="M62" s="3" t="s">
        <v>224</v>
      </c>
      <c r="N62" s="2">
        <v>46173</v>
      </c>
      <c r="P62" s="12">
        <f t="shared" si="1"/>
        <v>6</v>
      </c>
      <c r="Q62" s="12">
        <f t="shared" si="2"/>
        <v>5</v>
      </c>
      <c r="R62" s="12">
        <f t="shared" si="3"/>
        <v>5</v>
      </c>
    </row>
    <row r="63" spans="2:18" x14ac:dyDescent="0.2">
      <c r="B63">
        <v>5</v>
      </c>
      <c r="C63">
        <v>2026</v>
      </c>
      <c r="D63" s="1" t="s">
        <v>13</v>
      </c>
      <c r="E63" s="1" t="s">
        <v>144</v>
      </c>
      <c r="G63" s="1" t="s">
        <v>15</v>
      </c>
      <c r="H63" t="s">
        <v>204</v>
      </c>
      <c r="I63" s="1" t="s">
        <v>27</v>
      </c>
      <c r="J63" s="1" t="s">
        <v>29</v>
      </c>
      <c r="K63">
        <v>11491353</v>
      </c>
      <c r="L63" s="1">
        <f t="shared" si="6"/>
        <v>3.5</v>
      </c>
      <c r="M63" s="3" t="s">
        <v>224</v>
      </c>
      <c r="N63" s="2">
        <v>46173</v>
      </c>
      <c r="P63" s="12">
        <f t="shared" si="1"/>
        <v>3.5</v>
      </c>
      <c r="Q63" s="12">
        <f t="shared" si="2"/>
        <v>2.5</v>
      </c>
      <c r="R63" s="12">
        <f t="shared" si="3"/>
        <v>2</v>
      </c>
    </row>
    <row r="64" spans="2:18" x14ac:dyDescent="0.2">
      <c r="B64">
        <v>5</v>
      </c>
      <c r="C64">
        <v>2026</v>
      </c>
      <c r="D64" s="1" t="s">
        <v>13</v>
      </c>
      <c r="E64" s="1" t="s">
        <v>145</v>
      </c>
      <c r="G64" s="1" t="s">
        <v>15</v>
      </c>
      <c r="H64" t="s">
        <v>205</v>
      </c>
      <c r="I64" s="1" t="s">
        <v>27</v>
      </c>
      <c r="J64" s="1" t="s">
        <v>29</v>
      </c>
      <c r="K64">
        <v>16796851</v>
      </c>
      <c r="L64" s="1">
        <f t="shared" si="6"/>
        <v>7</v>
      </c>
      <c r="M64" s="3" t="s">
        <v>224</v>
      </c>
      <c r="N64" s="2">
        <v>46173</v>
      </c>
      <c r="P64" s="12">
        <f t="shared" si="1"/>
        <v>7</v>
      </c>
      <c r="Q64" s="12">
        <f t="shared" si="2"/>
        <v>7</v>
      </c>
      <c r="R64" s="12">
        <f t="shared" si="3"/>
        <v>6</v>
      </c>
    </row>
    <row r="65" spans="2:18" x14ac:dyDescent="0.2">
      <c r="B65">
        <v>5</v>
      </c>
      <c r="C65">
        <v>2026</v>
      </c>
      <c r="D65" s="1" t="s">
        <v>13</v>
      </c>
      <c r="E65" s="1" t="s">
        <v>146</v>
      </c>
      <c r="G65" s="1" t="s">
        <v>15</v>
      </c>
      <c r="H65" t="s">
        <v>206</v>
      </c>
      <c r="I65" s="1" t="s">
        <v>27</v>
      </c>
      <c r="J65" s="1" t="s">
        <v>29</v>
      </c>
      <c r="K65">
        <v>29846108</v>
      </c>
      <c r="L65" s="1">
        <f t="shared" si="6"/>
        <v>12</v>
      </c>
      <c r="M65" s="3" t="s">
        <v>224</v>
      </c>
      <c r="N65" s="2">
        <v>46173</v>
      </c>
      <c r="P65" s="12">
        <f t="shared" si="1"/>
        <v>12</v>
      </c>
      <c r="Q65" s="12">
        <f t="shared" si="2"/>
        <v>12</v>
      </c>
      <c r="R65" s="12">
        <f t="shared" si="3"/>
        <v>11</v>
      </c>
    </row>
    <row r="66" spans="2:18" x14ac:dyDescent="0.2">
      <c r="B66">
        <v>5</v>
      </c>
      <c r="C66">
        <v>2026</v>
      </c>
      <c r="D66" s="1" t="s">
        <v>13</v>
      </c>
      <c r="E66" s="1" t="s">
        <v>147</v>
      </c>
      <c r="G66" s="1" t="s">
        <v>21</v>
      </c>
      <c r="H66" t="s">
        <v>207</v>
      </c>
      <c r="I66" s="1" t="s">
        <v>27</v>
      </c>
      <c r="J66" s="1" t="s">
        <v>29</v>
      </c>
      <c r="K66">
        <v>63625000</v>
      </c>
      <c r="L66" s="1">
        <f t="shared" si="6"/>
        <v>20</v>
      </c>
      <c r="M66" s="3" t="s">
        <v>224</v>
      </c>
      <c r="N66" s="2">
        <v>46173</v>
      </c>
      <c r="P66" s="12">
        <f t="shared" si="1"/>
        <v>21</v>
      </c>
      <c r="Q66" s="12">
        <f t="shared" si="2"/>
        <v>20</v>
      </c>
      <c r="R66" s="12">
        <f t="shared" si="3"/>
        <v>20</v>
      </c>
    </row>
    <row r="67" spans="2:18" x14ac:dyDescent="0.2">
      <c r="B67">
        <v>5</v>
      </c>
      <c r="C67">
        <v>2026</v>
      </c>
      <c r="D67" s="1" t="s">
        <v>13</v>
      </c>
      <c r="E67" s="1" t="s">
        <v>148</v>
      </c>
      <c r="G67" s="1" t="s">
        <v>15</v>
      </c>
      <c r="H67" t="s">
        <v>208</v>
      </c>
      <c r="I67" s="1" t="s">
        <v>27</v>
      </c>
      <c r="J67" s="1" t="s">
        <v>29</v>
      </c>
      <c r="K67">
        <v>12012917</v>
      </c>
      <c r="L67" s="1">
        <f t="shared" si="6"/>
        <v>4</v>
      </c>
      <c r="M67" s="3" t="s">
        <v>224</v>
      </c>
      <c r="N67" s="2">
        <v>46173</v>
      </c>
      <c r="P67" s="12">
        <f t="shared" si="1"/>
        <v>4</v>
      </c>
      <c r="Q67" s="12">
        <f t="shared" si="2"/>
        <v>3</v>
      </c>
      <c r="R67" s="12">
        <f t="shared" si="3"/>
        <v>2</v>
      </c>
    </row>
    <row r="68" spans="2:18" x14ac:dyDescent="0.2">
      <c r="B68">
        <v>5</v>
      </c>
      <c r="C68">
        <v>2026</v>
      </c>
      <c r="D68" s="1" t="s">
        <v>13</v>
      </c>
      <c r="E68" s="1" t="s">
        <v>149</v>
      </c>
      <c r="G68" s="1" t="s">
        <v>21</v>
      </c>
      <c r="H68" t="s">
        <v>209</v>
      </c>
      <c r="I68" s="1" t="s">
        <v>27</v>
      </c>
      <c r="J68" s="1" t="s">
        <v>29</v>
      </c>
      <c r="K68">
        <v>21739130</v>
      </c>
      <c r="L68" s="1">
        <f t="shared" si="6"/>
        <v>8</v>
      </c>
      <c r="M68" s="3" t="s">
        <v>224</v>
      </c>
      <c r="N68" s="2">
        <v>46173</v>
      </c>
      <c r="P68" s="12">
        <f t="shared" si="1"/>
        <v>9</v>
      </c>
      <c r="Q68" s="12">
        <f t="shared" si="2"/>
        <v>8</v>
      </c>
      <c r="R68" s="12">
        <f t="shared" si="3"/>
        <v>8</v>
      </c>
    </row>
    <row r="69" spans="2:18" x14ac:dyDescent="0.2">
      <c r="B69">
        <v>5</v>
      </c>
      <c r="C69">
        <v>2026</v>
      </c>
      <c r="D69" s="1" t="s">
        <v>13</v>
      </c>
      <c r="E69" s="1" t="s">
        <v>150</v>
      </c>
      <c r="G69" s="1" t="s">
        <v>19</v>
      </c>
      <c r="H69" t="s">
        <v>210</v>
      </c>
      <c r="I69" s="1" t="s">
        <v>27</v>
      </c>
      <c r="J69" s="1" t="s">
        <v>29</v>
      </c>
      <c r="K69">
        <v>10230179</v>
      </c>
      <c r="L69" s="1">
        <f t="shared" si="6"/>
        <v>2.25</v>
      </c>
      <c r="M69" s="3" t="s">
        <v>224</v>
      </c>
      <c r="N69" s="2">
        <v>46173</v>
      </c>
      <c r="P69" s="12">
        <f t="shared" si="1"/>
        <v>2.25</v>
      </c>
      <c r="Q69" s="12">
        <f t="shared" si="2"/>
        <v>1.5</v>
      </c>
      <c r="R69" s="12">
        <f t="shared" si="3"/>
        <v>1.5</v>
      </c>
    </row>
    <row r="70" spans="2:18" x14ac:dyDescent="0.2">
      <c r="B70">
        <v>5</v>
      </c>
      <c r="C70">
        <v>2026</v>
      </c>
      <c r="D70" s="1" t="s">
        <v>13</v>
      </c>
      <c r="E70" s="1" t="s">
        <v>151</v>
      </c>
      <c r="G70" s="1" t="s">
        <v>15</v>
      </c>
      <c r="H70" t="s">
        <v>211</v>
      </c>
      <c r="I70" s="1" t="s">
        <v>27</v>
      </c>
      <c r="J70" s="1" t="s">
        <v>29</v>
      </c>
      <c r="K70">
        <v>9160305</v>
      </c>
      <c r="L70" s="1">
        <f t="shared" si="6"/>
        <v>1.75</v>
      </c>
      <c r="M70" s="3" t="s">
        <v>224</v>
      </c>
      <c r="N70" s="2">
        <v>46173</v>
      </c>
      <c r="P70" s="12">
        <f t="shared" ref="P70:P80" si="7">IF(K70&lt;=5400000,0,IF(AND(K70&gt;5400000,K70&lt;=5650000),0.25,IF(AND(K70&gt;5650000,K70&lt;=5950000),0.5,IF(AND(K70&gt;5950000,K70&lt;=6300000),0.75,IF(AND(K70&gt;6300000,K70&lt;=6750000),1,IF(AND(K70&gt;6750000,K70&lt;=7500000),1.25,IF(AND(K70&gt;7500000,K70&lt;=8550000),1.5,IF(AND(K70&gt;8550000,K70&lt;=9650000),1.75,IF(AND(K70&gt;9650000,K70&lt;=10050000),2,IF(AND(K70&gt;10050000,K70&lt;=10350000),2.25,IF(AND(K70&gt;10350000,K70&lt;=10700000),2.5,IF(AND(K70&gt;10700000,K70&lt;=11050000),3,IF(AND(K70&gt;11050000,K70&lt;=11600000),3.5,IF(AND(K70&gt;11600000,K70&lt;=12500000),4,IF(AND(K70&gt;12500000,K70&lt;=13750000),5,IF(AND(K70&gt;13750000,K70&lt;=15100000),6,IF(AND(K70&gt;15100000,K70&lt;=16950000),7,IF(AND(K70&gt;16950000,K70&lt;=19750000),8,IF(AND(K70&gt;19750000,K70&lt;=24150000),9,IF(AND(K70&gt;24150000,K70&lt;=26450000),10,IF(AND(K70&gt;26450000,K70&lt;=28000000),11,IF(AND(K70&gt;28000000,K70&lt;=30050000),12,IF(AND(K70&gt;30050000,K70&lt;=32400000),13,IF(AND(K70&gt;32400000,K70&lt;=35400000),14,IF(AND(K70&gt;35400000,K70&lt;=39100000),15,IF(AND(K70&gt;39100000,K70&lt;=43850000),16,IF(AND(K70&gt;43850000,K70&lt;=47800000),17,IF(AND(K70&gt;47800000,K70&lt;=51400000),18,IF(AND(K70&gt;51400000,K70&lt;=56300000),19,IF(AND(K70&gt;56300000,K70&lt;=62200000),20,IF(AND(K70&gt;62200000,K70&lt;=68600000),21,IF(AND(K70&gt;68600000,K70&lt;=77500000),22,IF(AND(K70&gt;77500000,K70&lt;=89000000),23,IF(AND(K70&gt;89000000,K70&lt;=103000000),24,IF(AND(K70&gt;103000000,K70&lt;=125000000),25,IF(AND(K70&gt;125000000,K70&lt;=157000000),26,IF(AND(K70&gt;157000000,K70&lt;=206000000),27,IF(AND(K70&gt;206000000,K70&lt;=337000000),28,IF(AND(K70&gt;337000000,K70&lt;=454000000),29,IF(AND(K70&gt;454000000,K70&lt;=550000000),30,IF(AND(K70&gt;550000000,K70&lt;=695000000),31,IF(AND(K70&gt;695000000,K70&lt;=910000000),32,IF(AND(K70&gt;910000000,K70&lt;=1400000000),33,34)))))))))))))))))))))))))))))))))))))))))))</f>
        <v>1.75</v>
      </c>
      <c r="Q70" s="12">
        <f t="shared" ref="Q70:Q80" si="8">IF(K70&lt;=6200000,0,IF(AND(K70&gt;6200000,K70&lt;=6500000),0.25,IF(AND(K70&gt;6500000,K70&lt;=6850000),0.5,IF(AND(K70&gt;6850000,K70&lt;=7300000),0.75,IF(AND(K70&gt;7300000,K70&lt;=9200000),1,IF(AND(K70&gt;9200000,K70&lt;=10750000),1.5,IF(AND(K70&gt;10750000,K70&lt;=11250000),2,IF(AND(K70&gt;11250000,K70&lt;=11600000),2.5,IF(AND(K70&gt;11600000,K70&lt;=12600000),3,IF(AND(K70&gt;12600000,K70&lt;=13600000),4,IF(AND(K70&gt;13600000,K70&lt;=14950000),5,IF(AND(K70&gt;14950000,K70&lt;=16400000),6,IF(AND(K70&gt;16400000,K70&lt;=18450000),7,IF(AND(K70&gt;18450000,K70&lt;=21850000),8,IF(AND(K70&gt;21850000,K70&lt;=26000000),9,IF(AND(K70&gt;26000000,K70&lt;=27700000),10,IF(AND(K70&gt;27700000,K70&lt;=29350000),11,IF(AND(K70&gt;29350000,K70&lt;=31450000),12,IF(AND(K70&gt;31450000,K70&lt;=33950000),13,IF(AND(K70&gt;33950000,K70&lt;=37100000),14,IF(AND(K70&gt;37100000,K70&lt;=41100000),15,IF(AND(K70&gt;41100000,K70&lt;=45800000),16,IF(AND(K70&gt;45800000,K70&lt;=49500000),17,IF(AND(K70&gt;49500000,K70&lt;=53800000),18,IF(AND(K70&gt;53800000,K70&lt;=58500000),19,IF(AND(K70&gt;58500000,K70&lt;=64000000),20,IF(AND(K70&gt;64000000,K70&lt;=71000000),21,IF(AND(K70&gt;71000000,K70&lt;=80000000),22,IF(AND(K70&gt;80000000,K70&lt;=93000000),23,IF(AND(K70&gt;93000000,K70&lt;=109000000),24,IF(AND(K70&gt;109000000,K70&lt;=129000000),25,IF(AND(K70&gt;129000000,K70&lt;=163000000),26,IF(AND(K70&gt;163000000,K70&lt;=211000000),27,IF(AND(K70&gt;211000000,K70&lt;=374000000),28,IF(AND(K70&gt;374000000,K70&lt;=459000000),29,IF(AND(K70&gt;459000000,K70&lt;=555000000),30,IF(AND(K70&gt;555000000,K70&lt;=704000000),31,IF(AND(K70&gt;704000000,K70&lt;=957000000),32,IF(AND(K70&gt;957000000,K70&lt;=1405000000),33,34)))))))))))))))))))))))))))))))))))))))</f>
        <v>1</v>
      </c>
      <c r="R70" s="12">
        <f t="shared" ref="R70:R80" si="9">IF(K70&lt;=6600000,0,IF(AND(K70&gt;6600000,K70&lt;=6950000),0.25,IF(AND(K70&gt;6950000,K70&lt;=7350000),0.5,IF(AND(K70&gt;7350000,K70&lt;=7800000),0.75,IF(AND(K70&gt;7800000,K70&lt;=8850000),1,IF(AND(K70&gt;8850000,K70&lt;=9800000),1.25,IF(AND(K70&gt;9800000,K70&lt;=10950000),1.5,IF(AND(K70&gt;10950000,K70&lt;=11200000),1.75,IF(AND(K70&gt;11200000,K70&lt;=12050000),2,IF(AND(K70&gt;12050000,K70&lt;=12950000),3,IF(AND(K70&gt;12950000,K70&lt;=14150000),4,IF(AND(K70&gt;14150000,K70&lt;=15550000),5,IF(AND(K70&gt;15550000,K70&lt;=17050000),6,IF(AND(K70&gt;17050000,K70&lt;=19500000),7,IF(AND(K70&gt;19500000,K70&lt;=22700000),8,IF(AND(K70&gt;22700000,K70&lt;=26600000),9,IF(AND(K70&gt;26600000,K70&lt;=28100000),10,IF(AND(K70&gt;28100000,K70&lt;=30100000),11,IF(AND(K70&gt;30100000,K70&lt;=32600000),12,IF(AND(K70&gt;32600000,K70&lt;=35400000),13,IF(AND(K70&gt;35400000,K70&lt;=38900000),14,IF(AND(K70&gt;38900000,K70&lt;=43000000),15,IF(AND(K70&gt;43000000,K70&lt;=47400000),16,IF(AND(K70&gt;47400000,K70&lt;=51200000),17,IF(AND(K70&gt;51200000,K70&lt;=55800000),18,IF(AND(K70&gt;55800000,K70&lt;=60400000),19,IF(AND(K70&gt;60400000,K70&lt;=66700000),20,IF(AND(K70&gt;66700000,K70&lt;=74500000),21,IF(AND(K70&gt;74500000,K70&lt;=83200000),22,IF(AND(K70&gt;83200000,K70&lt;=95600000),23,IF(AND(K70&gt;95600000,K70&lt;=110000000),24,IF(AND(K70&gt;110000000,K70&lt;=134000000),25,IF(AND(K70&gt;134000000,K70&lt;=169000000),26,IF(AND(K70&gt;169000000,K70&lt;=221000000),27,IF(AND(K70&gt;221000000,K70&lt;=390000000),28,IF(AND(K70&gt;390000000,K70&lt;=463000000),29,IF(AND(K70&gt;463000000,K70&lt;=561000000),30,IF(AND(K70&gt;561000000,K70&lt;=709000000),31,IF(AND(K70&gt;709000000,K70&lt;=965000000),32,IF(AND(K70&gt;965000000,K70&lt;=1419000000),33,34))))))))))))))))))))))))))))))))))))))))</f>
        <v>1.25</v>
      </c>
    </row>
    <row r="71" spans="2:18" x14ac:dyDescent="0.2">
      <c r="B71">
        <v>5</v>
      </c>
      <c r="C71">
        <v>2026</v>
      </c>
      <c r="D71" s="1" t="s">
        <v>13</v>
      </c>
      <c r="E71" s="1" t="s">
        <v>152</v>
      </c>
      <c r="G71" s="1" t="s">
        <v>15</v>
      </c>
      <c r="H71" t="s">
        <v>212</v>
      </c>
      <c r="I71" s="1" t="s">
        <v>27</v>
      </c>
      <c r="J71" s="1" t="s">
        <v>29</v>
      </c>
      <c r="K71">
        <v>16129032</v>
      </c>
      <c r="L71" s="1">
        <f t="shared" si="6"/>
        <v>7</v>
      </c>
      <c r="M71" s="3" t="s">
        <v>224</v>
      </c>
      <c r="N71" s="2">
        <v>46173</v>
      </c>
      <c r="P71" s="12">
        <f t="shared" si="7"/>
        <v>7</v>
      </c>
      <c r="Q71" s="12">
        <f t="shared" si="8"/>
        <v>6</v>
      </c>
      <c r="R71" s="12">
        <f t="shared" si="9"/>
        <v>6</v>
      </c>
    </row>
    <row r="72" spans="2:18" x14ac:dyDescent="0.2">
      <c r="B72">
        <v>5</v>
      </c>
      <c r="C72">
        <v>2026</v>
      </c>
      <c r="D72" s="1" t="s">
        <v>13</v>
      </c>
      <c r="E72" s="1" t="s">
        <v>153</v>
      </c>
      <c r="G72" s="1" t="s">
        <v>20</v>
      </c>
      <c r="H72" t="s">
        <v>213</v>
      </c>
      <c r="I72" s="1" t="s">
        <v>27</v>
      </c>
      <c r="J72" s="1" t="s">
        <v>29</v>
      </c>
      <c r="K72">
        <v>5330000</v>
      </c>
      <c r="L72" s="1">
        <f t="shared" si="6"/>
        <v>0</v>
      </c>
      <c r="M72" s="3" t="s">
        <v>224</v>
      </c>
      <c r="N72" s="2">
        <v>46173</v>
      </c>
      <c r="P72" s="12">
        <f t="shared" si="7"/>
        <v>0</v>
      </c>
      <c r="Q72" s="12">
        <f t="shared" si="8"/>
        <v>0</v>
      </c>
      <c r="R72" s="12">
        <f t="shared" si="9"/>
        <v>0</v>
      </c>
    </row>
    <row r="73" spans="2:18" x14ac:dyDescent="0.2">
      <c r="B73">
        <v>5</v>
      </c>
      <c r="C73">
        <v>2026</v>
      </c>
      <c r="D73" s="1" t="s">
        <v>13</v>
      </c>
      <c r="E73" s="1" t="s">
        <v>154</v>
      </c>
      <c r="G73" s="1" t="s">
        <v>20</v>
      </c>
      <c r="H73" t="s">
        <v>214</v>
      </c>
      <c r="I73" s="1" t="s">
        <v>27</v>
      </c>
      <c r="J73" s="1" t="s">
        <v>29</v>
      </c>
      <c r="K73">
        <v>8041758.9983999999</v>
      </c>
      <c r="L73" s="1">
        <f t="shared" si="6"/>
        <v>1</v>
      </c>
      <c r="M73" s="3" t="s">
        <v>224</v>
      </c>
      <c r="N73" s="2">
        <v>46173</v>
      </c>
      <c r="P73" s="12">
        <f t="shared" si="7"/>
        <v>1.5</v>
      </c>
      <c r="Q73" s="12">
        <f t="shared" si="8"/>
        <v>1</v>
      </c>
      <c r="R73" s="12">
        <f t="shared" si="9"/>
        <v>1</v>
      </c>
    </row>
    <row r="74" spans="2:18" x14ac:dyDescent="0.2">
      <c r="B74">
        <v>5</v>
      </c>
      <c r="C74">
        <v>2026</v>
      </c>
      <c r="D74" s="1" t="s">
        <v>13</v>
      </c>
      <c r="E74" s="1" t="s">
        <v>155</v>
      </c>
      <c r="G74" s="1" t="s">
        <v>20</v>
      </c>
      <c r="H74" t="s">
        <v>215</v>
      </c>
      <c r="I74" s="1" t="s">
        <v>27</v>
      </c>
      <c r="J74" s="1" t="s">
        <v>29</v>
      </c>
      <c r="K74">
        <v>14162991</v>
      </c>
      <c r="L74" s="1">
        <f t="shared" si="6"/>
        <v>5</v>
      </c>
      <c r="M74" s="3" t="s">
        <v>224</v>
      </c>
      <c r="N74" s="2">
        <v>46173</v>
      </c>
      <c r="P74" s="12">
        <f t="shared" si="7"/>
        <v>6</v>
      </c>
      <c r="Q74" s="12">
        <f t="shared" si="8"/>
        <v>5</v>
      </c>
      <c r="R74" s="12">
        <f t="shared" si="9"/>
        <v>5</v>
      </c>
    </row>
    <row r="75" spans="2:18" x14ac:dyDescent="0.2">
      <c r="B75">
        <v>5</v>
      </c>
      <c r="C75">
        <v>2026</v>
      </c>
      <c r="D75" s="1" t="s">
        <v>13</v>
      </c>
      <c r="E75" s="1" t="s">
        <v>156</v>
      </c>
      <c r="G75" s="1" t="s">
        <v>15</v>
      </c>
      <c r="H75" t="s">
        <v>216</v>
      </c>
      <c r="I75" s="1" t="s">
        <v>27</v>
      </c>
      <c r="J75" s="1" t="s">
        <v>29</v>
      </c>
      <c r="K75">
        <v>12672542</v>
      </c>
      <c r="L75" s="1">
        <f t="shared" si="6"/>
        <v>5</v>
      </c>
      <c r="M75" s="3" t="s">
        <v>224</v>
      </c>
      <c r="N75" s="2">
        <v>46173</v>
      </c>
      <c r="P75" s="12">
        <f t="shared" si="7"/>
        <v>5</v>
      </c>
      <c r="Q75" s="12">
        <f t="shared" si="8"/>
        <v>4</v>
      </c>
      <c r="R75" s="12">
        <f t="shared" si="9"/>
        <v>3</v>
      </c>
    </row>
    <row r="76" spans="2:18" x14ac:dyDescent="0.2">
      <c r="B76">
        <v>5</v>
      </c>
      <c r="C76">
        <v>2026</v>
      </c>
      <c r="D76" s="1" t="s">
        <v>13</v>
      </c>
      <c r="E76" s="1" t="s">
        <v>157</v>
      </c>
      <c r="G76" s="1" t="s">
        <v>15</v>
      </c>
      <c r="H76" t="s">
        <v>217</v>
      </c>
      <c r="I76" s="1" t="s">
        <v>27</v>
      </c>
      <c r="J76" s="1" t="s">
        <v>29</v>
      </c>
      <c r="K76">
        <v>11491353</v>
      </c>
      <c r="L76" s="1">
        <f t="shared" ref="L76:L80" si="10">IF(OR(G76="TK/0",G76="TK/1",G76="K/0",G76="HB/0",G76="HB/1"),P76,IF(OR(G76="TK/2",G76="TK/3",G76="K/1",G76="K/2",G76="HB/2",G76="HB/3"),Q76,R76))</f>
        <v>3.5</v>
      </c>
      <c r="M76" s="3" t="s">
        <v>224</v>
      </c>
      <c r="N76" s="2">
        <v>46173</v>
      </c>
      <c r="P76" s="12">
        <f t="shared" si="7"/>
        <v>3.5</v>
      </c>
      <c r="Q76" s="12">
        <f t="shared" si="8"/>
        <v>2.5</v>
      </c>
      <c r="R76" s="12">
        <f t="shared" si="9"/>
        <v>2</v>
      </c>
    </row>
    <row r="77" spans="2:18" x14ac:dyDescent="0.2">
      <c r="B77">
        <v>5</v>
      </c>
      <c r="C77">
        <v>2026</v>
      </c>
      <c r="D77" s="1" t="s">
        <v>13</v>
      </c>
      <c r="E77" s="1" t="s">
        <v>158</v>
      </c>
      <c r="G77" s="1" t="s">
        <v>15</v>
      </c>
      <c r="H77" t="s">
        <v>218</v>
      </c>
      <c r="I77" s="1" t="s">
        <v>27</v>
      </c>
      <c r="J77" s="1" t="s">
        <v>29</v>
      </c>
      <c r="K77">
        <v>6052315.1600000001</v>
      </c>
      <c r="L77" s="1">
        <f t="shared" si="10"/>
        <v>0.75</v>
      </c>
      <c r="M77" s="3" t="s">
        <v>224</v>
      </c>
      <c r="N77" s="2">
        <v>46173</v>
      </c>
      <c r="P77" s="12">
        <f t="shared" si="7"/>
        <v>0.75</v>
      </c>
      <c r="Q77" s="12">
        <f t="shared" si="8"/>
        <v>0</v>
      </c>
      <c r="R77" s="12">
        <f t="shared" si="9"/>
        <v>0</v>
      </c>
    </row>
    <row r="78" spans="2:18" x14ac:dyDescent="0.2">
      <c r="B78">
        <v>5</v>
      </c>
      <c r="C78">
        <v>2026</v>
      </c>
      <c r="D78" s="1" t="s">
        <v>13</v>
      </c>
      <c r="E78" s="1" t="s">
        <v>159</v>
      </c>
      <c r="G78" s="1" t="s">
        <v>21</v>
      </c>
      <c r="H78" t="s">
        <v>219</v>
      </c>
      <c r="I78" s="1" t="s">
        <v>27</v>
      </c>
      <c r="J78" s="1" t="s">
        <v>29</v>
      </c>
      <c r="K78">
        <v>12420491</v>
      </c>
      <c r="L78" s="1">
        <f t="shared" si="10"/>
        <v>3</v>
      </c>
      <c r="M78" s="3" t="s">
        <v>224</v>
      </c>
      <c r="N78" s="2">
        <v>46173</v>
      </c>
      <c r="P78" s="12">
        <f t="shared" si="7"/>
        <v>4</v>
      </c>
      <c r="Q78" s="12">
        <f t="shared" si="8"/>
        <v>3</v>
      </c>
      <c r="R78" s="12">
        <f t="shared" si="9"/>
        <v>3</v>
      </c>
    </row>
    <row r="79" spans="2:18" x14ac:dyDescent="0.2">
      <c r="B79">
        <v>5</v>
      </c>
      <c r="C79">
        <v>2026</v>
      </c>
      <c r="D79" s="1" t="s">
        <v>13</v>
      </c>
      <c r="E79" s="1" t="s">
        <v>160</v>
      </c>
      <c r="G79" s="1" t="s">
        <v>15</v>
      </c>
      <c r="H79" t="s">
        <v>220</v>
      </c>
      <c r="I79" s="1" t="s">
        <v>27</v>
      </c>
      <c r="J79" s="1" t="s">
        <v>29</v>
      </c>
      <c r="K79">
        <v>11491353</v>
      </c>
      <c r="L79" s="1">
        <f t="shared" si="10"/>
        <v>3.5</v>
      </c>
      <c r="M79" s="3" t="s">
        <v>224</v>
      </c>
      <c r="N79" s="2">
        <v>46173</v>
      </c>
      <c r="P79" s="12">
        <f t="shared" si="7"/>
        <v>3.5</v>
      </c>
      <c r="Q79" s="12">
        <f t="shared" si="8"/>
        <v>2.5</v>
      </c>
      <c r="R79" s="12">
        <f t="shared" si="9"/>
        <v>2</v>
      </c>
    </row>
    <row r="80" spans="2:18" x14ac:dyDescent="0.2">
      <c r="B80">
        <v>5</v>
      </c>
      <c r="C80">
        <v>2026</v>
      </c>
      <c r="D80" s="1" t="s">
        <v>13</v>
      </c>
      <c r="E80" s="1" t="s">
        <v>161</v>
      </c>
      <c r="G80" s="1" t="s">
        <v>15</v>
      </c>
      <c r="H80" t="s">
        <v>221</v>
      </c>
      <c r="I80" s="1" t="s">
        <v>27</v>
      </c>
      <c r="J80" s="1" t="s">
        <v>29</v>
      </c>
      <c r="K80">
        <v>14951388</v>
      </c>
      <c r="L80" s="1">
        <f t="shared" si="10"/>
        <v>6</v>
      </c>
      <c r="M80" s="3" t="s">
        <v>224</v>
      </c>
      <c r="N80" s="2">
        <v>46173</v>
      </c>
      <c r="P80" s="12">
        <f t="shared" si="7"/>
        <v>6</v>
      </c>
      <c r="Q80" s="12">
        <f t="shared" si="8"/>
        <v>6</v>
      </c>
      <c r="R80" s="12">
        <f t="shared" si="9"/>
        <v>5</v>
      </c>
    </row>
  </sheetData>
  <dataValidations count="1">
    <dataValidation type="list" allowBlank="1" showInputMessage="1" showErrorMessage="1" sqref="J5:J80" xr:uid="{4CC5D69F-9ED6-4317-9BB8-7C3FD72551C1}">
      <formula1>"21-100-01,21-100-02,21-100-32"</formula1>
    </dataValidation>
  </dataValidations>
  <pageMargins left="0.7" right="0.7" top="0.75" bottom="0.75" header="0.3" footer="0.3"/>
  <pageSetup orientation="portrait" r:id="rId1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8C9AF6-A8AF-4D32-802A-CDF2320C5193}">
          <x14:formula1>
            <xm:f>REF!$C$2:$C$13</xm:f>
          </x14:formula1>
          <xm:sqref>G5:G80</xm:sqref>
        </x14:dataValidation>
        <x14:dataValidation type="list" allowBlank="1" showInputMessage="1" showErrorMessage="1" xr:uid="{48A54E8A-FBDB-45F7-A4AB-37E873DCB58D}">
          <x14:formula1>
            <xm:f>REF!$D$2:$D$4</xm:f>
          </x14:formula1>
          <xm:sqref>I5:I80</xm:sqref>
        </x14:dataValidation>
        <x14:dataValidation type="list" allowBlank="1" showInputMessage="1" showErrorMessage="1" xr:uid="{815183B5-C19B-46C4-91A6-250D3CCF63B4}">
          <x14:formula1>
            <xm:f>REF!$B$2:$B$3</xm:f>
          </x14:formula1>
          <xm:sqref>D5:D80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74DCB-4D93-F742-9271-DD9F5B4FEB1B}">
  <dimension ref="D16:H16"/>
  <sheetViews>
    <sheetView workbookViewId="0">
      <selection activeCell="H23" sqref="H23"/>
    </sheetView>
  </sheetViews>
  <sheetFormatPr baseColWidth="10" defaultRowHeight="15" x14ac:dyDescent="0.2"/>
  <sheetData>
    <row r="16" spans="4:8" ht="92" x14ac:dyDescent="1">
      <c r="D16" s="14" t="s">
        <v>223</v>
      </c>
      <c r="E16" s="14"/>
      <c r="F16" s="14"/>
      <c r="G16" s="14"/>
      <c r="H16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E6F3C-C7D6-4B2E-B994-0AD36ABF5FF2}">
  <dimension ref="A1:F15"/>
  <sheetViews>
    <sheetView zoomScaleNormal="100" workbookViewId="0">
      <selection activeCell="E7" sqref="E7"/>
    </sheetView>
  </sheetViews>
  <sheetFormatPr baseColWidth="10" defaultColWidth="8.83203125" defaultRowHeight="15" x14ac:dyDescent="0.2"/>
  <cols>
    <col min="1" max="1" width="17.5" bestFit="1" customWidth="1"/>
    <col min="2" max="2" width="24.5" bestFit="1" customWidth="1"/>
    <col min="3" max="3" width="67.83203125" bestFit="1" customWidth="1"/>
    <col min="4" max="4" width="23.5" bestFit="1" customWidth="1"/>
    <col min="5" max="5" width="100.6640625" customWidth="1"/>
    <col min="6" max="6" width="105.33203125" bestFit="1" customWidth="1"/>
  </cols>
  <sheetData>
    <row r="1" spans="1:6" x14ac:dyDescent="0.2">
      <c r="A1" s="4" t="s">
        <v>39</v>
      </c>
      <c r="B1" s="4" t="s">
        <v>40</v>
      </c>
      <c r="C1" s="4" t="s">
        <v>41</v>
      </c>
      <c r="D1" s="4" t="s">
        <v>42</v>
      </c>
      <c r="E1" s="4" t="s">
        <v>78</v>
      </c>
      <c r="F1" s="4" t="s">
        <v>43</v>
      </c>
    </row>
    <row r="2" spans="1:6" x14ac:dyDescent="0.2">
      <c r="A2" t="s">
        <v>0</v>
      </c>
      <c r="B2" t="s">
        <v>44</v>
      </c>
      <c r="C2" t="s">
        <v>45</v>
      </c>
      <c r="D2" s="5" t="s">
        <v>38</v>
      </c>
      <c r="E2" s="9" t="s">
        <v>79</v>
      </c>
    </row>
    <row r="3" spans="1:6" x14ac:dyDescent="0.2">
      <c r="A3" t="s">
        <v>1</v>
      </c>
      <c r="B3" t="s">
        <v>46</v>
      </c>
      <c r="C3" t="s">
        <v>47</v>
      </c>
      <c r="D3" s="5" t="s">
        <v>48</v>
      </c>
      <c r="E3" s="5"/>
    </row>
    <row r="4" spans="1:6" x14ac:dyDescent="0.2">
      <c r="A4" t="s">
        <v>2</v>
      </c>
      <c r="B4" t="s">
        <v>49</v>
      </c>
      <c r="C4" t="s">
        <v>47</v>
      </c>
      <c r="D4" s="5" t="s">
        <v>50</v>
      </c>
      <c r="E4" s="5"/>
    </row>
    <row r="5" spans="1:6" x14ac:dyDescent="0.2">
      <c r="A5" t="s">
        <v>3</v>
      </c>
      <c r="B5" t="s">
        <v>51</v>
      </c>
      <c r="C5" t="s">
        <v>52</v>
      </c>
      <c r="D5" s="6" t="s">
        <v>13</v>
      </c>
      <c r="E5" s="6"/>
    </row>
    <row r="6" spans="1:6" x14ac:dyDescent="0.2">
      <c r="A6" t="s">
        <v>30</v>
      </c>
      <c r="B6" t="s">
        <v>53</v>
      </c>
      <c r="C6" t="s">
        <v>54</v>
      </c>
      <c r="D6" s="5" t="s">
        <v>55</v>
      </c>
      <c r="E6" s="11" t="s">
        <v>82</v>
      </c>
    </row>
    <row r="7" spans="1:6" x14ac:dyDescent="0.2">
      <c r="A7" t="s">
        <v>4</v>
      </c>
      <c r="B7" t="s">
        <v>56</v>
      </c>
      <c r="C7" t="s">
        <v>57</v>
      </c>
      <c r="D7" s="5"/>
      <c r="E7" s="5"/>
    </row>
    <row r="8" spans="1:6" x14ac:dyDescent="0.2">
      <c r="A8" t="s">
        <v>5</v>
      </c>
      <c r="B8" t="s">
        <v>58</v>
      </c>
      <c r="C8" t="s">
        <v>59</v>
      </c>
      <c r="D8" s="6" t="s">
        <v>18</v>
      </c>
      <c r="E8" s="6"/>
    </row>
    <row r="9" spans="1:6" x14ac:dyDescent="0.2">
      <c r="A9" t="s">
        <v>6</v>
      </c>
      <c r="B9" t="s">
        <v>60</v>
      </c>
      <c r="C9" t="s">
        <v>61</v>
      </c>
      <c r="D9" s="6" t="s">
        <v>62</v>
      </c>
      <c r="E9" s="6"/>
    </row>
    <row r="10" spans="1:6" x14ac:dyDescent="0.2">
      <c r="A10" t="s">
        <v>7</v>
      </c>
      <c r="B10" t="s">
        <v>63</v>
      </c>
      <c r="C10" t="s">
        <v>64</v>
      </c>
      <c r="D10" s="5" t="s">
        <v>27</v>
      </c>
      <c r="E10" s="5"/>
    </row>
    <row r="11" spans="1:6" x14ac:dyDescent="0.2">
      <c r="A11" t="s">
        <v>8</v>
      </c>
      <c r="B11" t="s">
        <v>65</v>
      </c>
      <c r="C11" t="s">
        <v>66</v>
      </c>
      <c r="D11" s="5" t="s">
        <v>29</v>
      </c>
      <c r="E11" s="5"/>
    </row>
    <row r="12" spans="1:6" x14ac:dyDescent="0.2">
      <c r="A12" t="s">
        <v>9</v>
      </c>
      <c r="B12" t="s">
        <v>67</v>
      </c>
      <c r="C12" t="s">
        <v>68</v>
      </c>
      <c r="D12" s="6">
        <v>10000000</v>
      </c>
      <c r="E12" s="6"/>
    </row>
    <row r="13" spans="1:6" x14ac:dyDescent="0.2">
      <c r="A13" t="s">
        <v>10</v>
      </c>
      <c r="B13" t="s">
        <v>69</v>
      </c>
      <c r="C13" t="s">
        <v>70</v>
      </c>
      <c r="D13" s="5">
        <v>2</v>
      </c>
      <c r="E13" s="9" t="s">
        <v>81</v>
      </c>
      <c r="F13" t="s">
        <v>71</v>
      </c>
    </row>
    <row r="14" spans="1:6" x14ac:dyDescent="0.2">
      <c r="A14" t="s">
        <v>11</v>
      </c>
      <c r="B14" t="s">
        <v>72</v>
      </c>
      <c r="C14" t="s">
        <v>73</v>
      </c>
      <c r="D14" s="5" t="s">
        <v>74</v>
      </c>
      <c r="E14" s="5"/>
    </row>
    <row r="15" spans="1:6" x14ac:dyDescent="0.2">
      <c r="A15" t="s">
        <v>12</v>
      </c>
      <c r="B15" t="s">
        <v>75</v>
      </c>
      <c r="C15" t="s">
        <v>76</v>
      </c>
      <c r="D15" s="7">
        <v>45673</v>
      </c>
      <c r="E15" s="10" t="s">
        <v>80</v>
      </c>
      <c r="F15" t="s">
        <v>77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48016-5FC8-4EC1-AD31-6B3EB84DE9AD}">
  <dimension ref="B1:G13"/>
  <sheetViews>
    <sheetView workbookViewId="0">
      <selection activeCell="F5" sqref="F5"/>
    </sheetView>
  </sheetViews>
  <sheetFormatPr baseColWidth="10" defaultColWidth="8.83203125" defaultRowHeight="15" x14ac:dyDescent="0.2"/>
  <cols>
    <col min="6" max="6" width="16.5" bestFit="1" customWidth="1"/>
    <col min="7" max="7" width="156.1640625" bestFit="1" customWidth="1"/>
  </cols>
  <sheetData>
    <row r="1" spans="2:7" x14ac:dyDescent="0.2">
      <c r="F1" t="s">
        <v>8</v>
      </c>
      <c r="G1" t="s">
        <v>32</v>
      </c>
    </row>
    <row r="2" spans="2:7" x14ac:dyDescent="0.2">
      <c r="B2" t="s">
        <v>13</v>
      </c>
      <c r="C2" t="s">
        <v>15</v>
      </c>
      <c r="D2" t="s">
        <v>27</v>
      </c>
      <c r="F2" t="s">
        <v>29</v>
      </c>
      <c r="G2" t="s">
        <v>33</v>
      </c>
    </row>
    <row r="3" spans="2:7" x14ac:dyDescent="0.2">
      <c r="B3" t="s">
        <v>14</v>
      </c>
      <c r="C3" t="s">
        <v>16</v>
      </c>
      <c r="D3" t="s">
        <v>28</v>
      </c>
      <c r="F3" t="s">
        <v>36</v>
      </c>
      <c r="G3" t="s">
        <v>34</v>
      </c>
    </row>
    <row r="4" spans="2:7" x14ac:dyDescent="0.2">
      <c r="C4" t="s">
        <v>17</v>
      </c>
      <c r="D4" t="s">
        <v>31</v>
      </c>
      <c r="F4" t="s">
        <v>37</v>
      </c>
      <c r="G4" t="s">
        <v>35</v>
      </c>
    </row>
    <row r="5" spans="2:7" x14ac:dyDescent="0.2">
      <c r="C5" t="s">
        <v>18</v>
      </c>
    </row>
    <row r="6" spans="2:7" x14ac:dyDescent="0.2">
      <c r="C6" t="s">
        <v>19</v>
      </c>
    </row>
    <row r="7" spans="2:7" x14ac:dyDescent="0.2">
      <c r="C7" t="s">
        <v>20</v>
      </c>
    </row>
    <row r="8" spans="2:7" x14ac:dyDescent="0.2">
      <c r="C8" t="s">
        <v>21</v>
      </c>
    </row>
    <row r="9" spans="2:7" x14ac:dyDescent="0.2">
      <c r="C9" t="s">
        <v>22</v>
      </c>
    </row>
    <row r="10" spans="2:7" x14ac:dyDescent="0.2">
      <c r="C10" t="s">
        <v>23</v>
      </c>
    </row>
    <row r="11" spans="2:7" x14ac:dyDescent="0.2">
      <c r="C11" t="s">
        <v>24</v>
      </c>
    </row>
    <row r="12" spans="2:7" x14ac:dyDescent="0.2">
      <c r="C12" t="s">
        <v>25</v>
      </c>
    </row>
    <row r="13" spans="2:7" x14ac:dyDescent="0.2">
      <c r="C13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Sheet1</vt:lpstr>
      <vt:lpstr>BPMP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PAJAK</dc:creator>
  <cp:lastModifiedBy>cintyaanindyajp@gmail.com</cp:lastModifiedBy>
  <dcterms:created xsi:type="dcterms:W3CDTF">2023-02-03T06:28:27Z</dcterms:created>
  <dcterms:modified xsi:type="dcterms:W3CDTF">2026-05-26T16:27:10Z</dcterms:modified>
</cp:coreProperties>
</file>