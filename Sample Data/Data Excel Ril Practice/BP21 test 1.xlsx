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SingleCells1.xml" ContentType="application/vnd.openxmlformats-officedocument.spreadsheetml.tableSingleCell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7"/>
  <workbookPr/>
  <mc:AlternateContent xmlns:mc="http://schemas.openxmlformats.org/markup-compatibility/2006">
    <mc:Choice Requires="x15">
      <x15ac:absPath xmlns:x15ac="http://schemas.microsoft.com/office/spreadsheetml/2010/11/ac" url="/Users/cintya/Downloads/"/>
    </mc:Choice>
  </mc:AlternateContent>
  <xr:revisionPtr revIDLastSave="0" documentId="13_ncr:1_{8E57F5F8-9202-364A-A8FE-8878EBA4598F}" xr6:coauthVersionLast="47" xr6:coauthVersionMax="47" xr10:uidLastSave="{00000000-0000-0000-0000-000000000000}"/>
  <bookViews>
    <workbookView xWindow="0" yWindow="0" windowWidth="28160" windowHeight="17620" xr2:uid="{00000000-000D-0000-FFFF-FFFF00000000}"/>
  </bookViews>
  <sheets>
    <sheet name="DATA" sheetId="2" r:id="rId1"/>
    <sheet name="BP21" sheetId="3" r:id="rId2"/>
    <sheet name="REF" sheetId="1" r:id="rId3"/>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77" i="2" l="1"/>
  <c r="R77" i="2"/>
  <c r="J77" i="2"/>
  <c r="U76" i="2"/>
  <c r="S76" i="2"/>
  <c r="J76" i="2"/>
  <c r="R76" i="2" s="1"/>
  <c r="S75" i="2"/>
  <c r="J75" i="2"/>
  <c r="R75" i="2" s="1"/>
  <c r="U74" i="2"/>
  <c r="T74" i="2"/>
  <c r="S74" i="2"/>
  <c r="K74" i="2" s="1"/>
  <c r="J74" i="2"/>
  <c r="R74" i="2" s="1"/>
  <c r="Y73" i="2"/>
  <c r="X73" i="2"/>
  <c r="U73" i="2"/>
  <c r="T73" i="2"/>
  <c r="S73" i="2"/>
  <c r="R73" i="2"/>
  <c r="J73" i="2"/>
  <c r="Y72" i="2"/>
  <c r="X72" i="2"/>
  <c r="S72" i="2"/>
  <c r="R72" i="2"/>
  <c r="W72" i="2" s="1"/>
  <c r="J72" i="2"/>
  <c r="S71" i="2"/>
  <c r="R71" i="2"/>
  <c r="J71" i="2"/>
  <c r="U70" i="2"/>
  <c r="S70" i="2"/>
  <c r="J70" i="2"/>
  <c r="R70" i="2" s="1"/>
  <c r="S69" i="2"/>
  <c r="J69" i="2"/>
  <c r="R69" i="2" s="1"/>
  <c r="V68" i="2"/>
  <c r="U68" i="2"/>
  <c r="T68" i="2"/>
  <c r="S68" i="2"/>
  <c r="K68" i="2" s="1"/>
  <c r="J68" i="2"/>
  <c r="R68" i="2" s="1"/>
  <c r="Y67" i="2"/>
  <c r="X67" i="2"/>
  <c r="U67" i="2"/>
  <c r="T67" i="2"/>
  <c r="S67" i="2"/>
  <c r="R67" i="2"/>
  <c r="J67" i="2"/>
  <c r="Y66" i="2"/>
  <c r="X66" i="2"/>
  <c r="S66" i="2"/>
  <c r="R66" i="2"/>
  <c r="W66" i="2" s="1"/>
  <c r="J66" i="2"/>
  <c r="S65" i="2"/>
  <c r="R65" i="2"/>
  <c r="J65" i="2"/>
  <c r="S64" i="2"/>
  <c r="J64" i="2"/>
  <c r="R64" i="2" s="1"/>
  <c r="W63" i="2"/>
  <c r="S63" i="2"/>
  <c r="J63" i="2"/>
  <c r="R63" i="2" s="1"/>
  <c r="V62" i="2"/>
  <c r="U62" i="2"/>
  <c r="T62" i="2"/>
  <c r="S62" i="2"/>
  <c r="K62" i="2" s="1"/>
  <c r="J62" i="2"/>
  <c r="R62" i="2" s="1"/>
  <c r="Y61" i="2"/>
  <c r="X61" i="2"/>
  <c r="U61" i="2"/>
  <c r="T61" i="2"/>
  <c r="S61" i="2"/>
  <c r="R61" i="2"/>
  <c r="J61" i="2"/>
  <c r="Y60" i="2"/>
  <c r="X60" i="2"/>
  <c r="S60" i="2"/>
  <c r="R60" i="2"/>
  <c r="W60" i="2" s="1"/>
  <c r="J60" i="2"/>
  <c r="S59" i="2"/>
  <c r="R59" i="2"/>
  <c r="J59" i="2"/>
  <c r="S58" i="2"/>
  <c r="J58" i="2"/>
  <c r="R58" i="2" s="1"/>
  <c r="S57" i="2"/>
  <c r="J57" i="2"/>
  <c r="R57" i="2" s="1"/>
  <c r="W57" i="2" s="1"/>
  <c r="V56" i="2"/>
  <c r="U56" i="2"/>
  <c r="T56" i="2"/>
  <c r="S56" i="2"/>
  <c r="K56" i="2" s="1"/>
  <c r="J56" i="2"/>
  <c r="R56" i="2" s="1"/>
  <c r="Y55" i="2"/>
  <c r="X55" i="2"/>
  <c r="U55" i="2"/>
  <c r="T55" i="2"/>
  <c r="S55" i="2"/>
  <c r="R55" i="2"/>
  <c r="J55" i="2"/>
  <c r="Y54" i="2"/>
  <c r="X54" i="2"/>
  <c r="S54" i="2"/>
  <c r="R54" i="2"/>
  <c r="J54" i="2"/>
  <c r="S53" i="2"/>
  <c r="R53" i="2"/>
  <c r="J53" i="2"/>
  <c r="U52" i="2"/>
  <c r="S52" i="2"/>
  <c r="J52" i="2"/>
  <c r="R52" i="2" s="1"/>
  <c r="S51" i="2"/>
  <c r="J51" i="2"/>
  <c r="R51" i="2" s="1"/>
  <c r="V50" i="2"/>
  <c r="U50" i="2"/>
  <c r="T50" i="2"/>
  <c r="S50" i="2"/>
  <c r="K50" i="2" s="1"/>
  <c r="J50" i="2"/>
  <c r="R50" i="2" s="1"/>
  <c r="Y49" i="2"/>
  <c r="X49" i="2"/>
  <c r="U49" i="2"/>
  <c r="T49" i="2"/>
  <c r="S49" i="2"/>
  <c r="R49" i="2"/>
  <c r="J49" i="2"/>
  <c r="Y48" i="2"/>
  <c r="X48" i="2"/>
  <c r="S48" i="2"/>
  <c r="R48" i="2"/>
  <c r="J48" i="2"/>
  <c r="S47" i="2"/>
  <c r="R47" i="2"/>
  <c r="J47" i="2"/>
  <c r="S46" i="2"/>
  <c r="J46" i="2"/>
  <c r="R46" i="2" s="1"/>
  <c r="W45" i="2"/>
  <c r="S45" i="2"/>
  <c r="J45" i="2"/>
  <c r="R45" i="2" s="1"/>
  <c r="V44" i="2"/>
  <c r="U44" i="2"/>
  <c r="T44" i="2"/>
  <c r="S44" i="2"/>
  <c r="K44" i="2" s="1"/>
  <c r="J44" i="2"/>
  <c r="R44" i="2" s="1"/>
  <c r="Y43" i="2"/>
  <c r="X43" i="2"/>
  <c r="U43" i="2"/>
  <c r="T43" i="2"/>
  <c r="S43" i="2"/>
  <c r="R43" i="2"/>
  <c r="J43" i="2"/>
  <c r="Y42" i="2"/>
  <c r="X42" i="2"/>
  <c r="S42" i="2"/>
  <c r="R42" i="2"/>
  <c r="J42" i="2"/>
  <c r="S41" i="2"/>
  <c r="R41" i="2"/>
  <c r="J41" i="2"/>
  <c r="S40" i="2"/>
  <c r="J40" i="2"/>
  <c r="R40" i="2" s="1"/>
  <c r="S39" i="2"/>
  <c r="J39" i="2"/>
  <c r="R39" i="2" s="1"/>
  <c r="W39" i="2" s="1"/>
  <c r="V38" i="2"/>
  <c r="U38" i="2"/>
  <c r="T38" i="2"/>
  <c r="S38" i="2"/>
  <c r="K38" i="2" s="1"/>
  <c r="J38" i="2"/>
  <c r="R38" i="2" s="1"/>
  <c r="Y37" i="2"/>
  <c r="X37" i="2"/>
  <c r="U37" i="2"/>
  <c r="T37" i="2"/>
  <c r="S37" i="2"/>
  <c r="R37" i="2"/>
  <c r="J37" i="2"/>
  <c r="Z36" i="2"/>
  <c r="Y36" i="2"/>
  <c r="X36" i="2"/>
  <c r="S36" i="2"/>
  <c r="R36" i="2"/>
  <c r="J36" i="2"/>
  <c r="S35" i="2"/>
  <c r="R35" i="2"/>
  <c r="J35" i="2"/>
  <c r="U34" i="2"/>
  <c r="S34" i="2"/>
  <c r="J34" i="2"/>
  <c r="R34" i="2" s="1"/>
  <c r="S33" i="2"/>
  <c r="J33" i="2"/>
  <c r="R33" i="2" s="1"/>
  <c r="V32" i="2"/>
  <c r="U32" i="2"/>
  <c r="T32" i="2"/>
  <c r="S32" i="2"/>
  <c r="K32" i="2" s="1"/>
  <c r="J32" i="2"/>
  <c r="R32" i="2" s="1"/>
  <c r="Y31" i="2"/>
  <c r="X31" i="2"/>
  <c r="U31" i="2"/>
  <c r="T31" i="2"/>
  <c r="S31" i="2"/>
  <c r="R31" i="2"/>
  <c r="J31" i="2"/>
  <c r="Y30" i="2"/>
  <c r="X30" i="2"/>
  <c r="S30" i="2"/>
  <c r="R30" i="2"/>
  <c r="W30" i="2" s="1"/>
  <c r="J30" i="2"/>
  <c r="S29" i="2"/>
  <c r="R29" i="2"/>
  <c r="J29" i="2"/>
  <c r="S28" i="2"/>
  <c r="J28" i="2"/>
  <c r="R28" i="2" s="1"/>
  <c r="W27" i="2"/>
  <c r="S27" i="2"/>
  <c r="J27" i="2"/>
  <c r="R27" i="2" s="1"/>
  <c r="V26" i="2"/>
  <c r="U26" i="2"/>
  <c r="T26" i="2"/>
  <c r="S26" i="2"/>
  <c r="K26" i="2" s="1"/>
  <c r="J26" i="2"/>
  <c r="R26" i="2" s="1"/>
  <c r="Y25" i="2"/>
  <c r="X25" i="2"/>
  <c r="U25" i="2"/>
  <c r="T25" i="2"/>
  <c r="S25" i="2"/>
  <c r="R25" i="2"/>
  <c r="J25" i="2"/>
  <c r="Y24" i="2"/>
  <c r="X24" i="2"/>
  <c r="S24" i="2"/>
  <c r="R24" i="2"/>
  <c r="J24" i="2"/>
  <c r="S23" i="2"/>
  <c r="R23" i="2"/>
  <c r="J23" i="2"/>
  <c r="U22" i="2"/>
  <c r="S22" i="2"/>
  <c r="J22" i="2"/>
  <c r="R22" i="2" s="1"/>
  <c r="W21" i="2"/>
  <c r="S21" i="2"/>
  <c r="R21" i="2"/>
  <c r="V21" i="2" s="1"/>
  <c r="J21" i="2"/>
  <c r="V20" i="2"/>
  <c r="S20" i="2"/>
  <c r="J20" i="2"/>
  <c r="R20" i="2" s="1"/>
  <c r="S19" i="2"/>
  <c r="J19" i="2"/>
  <c r="R19" i="2" s="1"/>
  <c r="S18" i="2"/>
  <c r="J18" i="2"/>
  <c r="R18" i="2" s="1"/>
  <c r="Z18" i="2" s="1"/>
  <c r="Y17" i="2"/>
  <c r="T17" i="2"/>
  <c r="S17" i="2"/>
  <c r="J17" i="2"/>
  <c r="R17" i="2" s="1"/>
  <c r="S16" i="2"/>
  <c r="R16" i="2"/>
  <c r="X16" i="2" s="1"/>
  <c r="J16" i="2"/>
  <c r="S15" i="2"/>
  <c r="R15" i="2"/>
  <c r="J15" i="2"/>
  <c r="S14" i="2"/>
  <c r="J14" i="2"/>
  <c r="R14" i="2" s="1"/>
  <c r="S13" i="2"/>
  <c r="J13" i="2"/>
  <c r="R13" i="2" s="1"/>
  <c r="Z12" i="2"/>
  <c r="U12" i="2"/>
  <c r="T12" i="2"/>
  <c r="K12" i="2" s="1"/>
  <c r="S12" i="2"/>
  <c r="J12" i="2"/>
  <c r="R12" i="2" s="1"/>
  <c r="Z11" i="2"/>
  <c r="Y11" i="2"/>
  <c r="T11" i="2"/>
  <c r="S11" i="2"/>
  <c r="J11" i="2"/>
  <c r="R11" i="2" s="1"/>
  <c r="S10" i="2"/>
  <c r="R10" i="2"/>
  <c r="J10" i="2"/>
  <c r="S9" i="2"/>
  <c r="R9" i="2"/>
  <c r="J9" i="2"/>
  <c r="S8" i="2"/>
  <c r="J8" i="2"/>
  <c r="R8" i="2" s="1"/>
  <c r="S7" i="2"/>
  <c r="J7" i="2"/>
  <c r="R7" i="2" s="1"/>
  <c r="V7" i="2" s="1"/>
  <c r="Z6" i="2"/>
  <c r="U6" i="2"/>
  <c r="T6" i="2"/>
  <c r="K6" i="2" s="1"/>
  <c r="S6" i="2"/>
  <c r="J6" i="2"/>
  <c r="R6" i="2" s="1"/>
  <c r="Z5" i="2"/>
  <c r="Y5" i="2"/>
  <c r="T5" i="2"/>
  <c r="S5" i="2"/>
  <c r="J5" i="2"/>
  <c r="R5" i="2" s="1"/>
  <c r="Y19" i="2" l="1"/>
  <c r="X19" i="2"/>
  <c r="V19" i="2"/>
  <c r="Z19" i="2"/>
  <c r="T19" i="2"/>
  <c r="K19" i="2" s="1"/>
  <c r="W19" i="2"/>
  <c r="X33" i="2"/>
  <c r="Y33" i="2"/>
  <c r="U33" i="2"/>
  <c r="T33" i="2"/>
  <c r="K33" i="2" s="1"/>
  <c r="V33" i="2"/>
  <c r="Z33" i="2"/>
  <c r="Y40" i="2"/>
  <c r="Z40" i="2"/>
  <c r="T40" i="2"/>
  <c r="K40" i="2" s="1"/>
  <c r="V40" i="2"/>
  <c r="X40" i="2"/>
  <c r="W40" i="2"/>
  <c r="Y58" i="2"/>
  <c r="Z58" i="2"/>
  <c r="T58" i="2"/>
  <c r="K58" i="2" s="1"/>
  <c r="X58" i="2"/>
  <c r="V58" i="2"/>
  <c r="W58" i="2"/>
  <c r="U15" i="2"/>
  <c r="Z15" i="2"/>
  <c r="V15" i="2"/>
  <c r="T15" i="2"/>
  <c r="K15" i="2" s="1"/>
  <c r="Y15" i="2"/>
  <c r="X51" i="2"/>
  <c r="Y51" i="2"/>
  <c r="U51" i="2"/>
  <c r="T51" i="2"/>
  <c r="K51" i="2" s="1"/>
  <c r="V51" i="2"/>
  <c r="Z51" i="2"/>
  <c r="X69" i="2"/>
  <c r="Y69" i="2"/>
  <c r="U69" i="2"/>
  <c r="T69" i="2"/>
  <c r="K69" i="2" s="1"/>
  <c r="V69" i="2"/>
  <c r="Z69" i="2"/>
  <c r="Y13" i="2"/>
  <c r="W13" i="2"/>
  <c r="Z13" i="2"/>
  <c r="T13" i="2"/>
  <c r="K13" i="2" s="1"/>
  <c r="X13" i="2"/>
  <c r="U19" i="2"/>
  <c r="K5" i="2"/>
  <c r="K11" i="2"/>
  <c r="V13" i="2"/>
  <c r="K17" i="2"/>
  <c r="Y22" i="2"/>
  <c r="Z22" i="2"/>
  <c r="T22" i="2"/>
  <c r="K22" i="2" s="1"/>
  <c r="W22" i="2"/>
  <c r="X22" i="2"/>
  <c r="V22" i="2"/>
  <c r="Z29" i="2"/>
  <c r="T29" i="2"/>
  <c r="U29" i="2"/>
  <c r="X29" i="2"/>
  <c r="W29" i="2"/>
  <c r="Y29" i="2"/>
  <c r="V29" i="2"/>
  <c r="X45" i="2"/>
  <c r="Y45" i="2"/>
  <c r="U45" i="2"/>
  <c r="Z45" i="2"/>
  <c r="T45" i="2"/>
  <c r="K45" i="2" s="1"/>
  <c r="V45" i="2"/>
  <c r="X63" i="2"/>
  <c r="Y63" i="2"/>
  <c r="U63" i="2"/>
  <c r="T63" i="2"/>
  <c r="K63" i="2" s="1"/>
  <c r="Z63" i="2"/>
  <c r="V63" i="2"/>
  <c r="Y76" i="2"/>
  <c r="Z76" i="2"/>
  <c r="T76" i="2"/>
  <c r="K76" i="2" s="1"/>
  <c r="X76" i="2"/>
  <c r="W76" i="2"/>
  <c r="V76" i="2"/>
  <c r="W33" i="2"/>
  <c r="W51" i="2"/>
  <c r="W69" i="2"/>
  <c r="Z77" i="2"/>
  <c r="T77" i="2"/>
  <c r="K77" i="2" s="1"/>
  <c r="Y77" i="2"/>
  <c r="U77" i="2"/>
  <c r="X77" i="2"/>
  <c r="V77" i="2"/>
  <c r="W77" i="2"/>
  <c r="Z8" i="2"/>
  <c r="T8" i="2"/>
  <c r="K8" i="2" s="1"/>
  <c r="U8" i="2"/>
  <c r="Y8" i="2"/>
  <c r="X8" i="2"/>
  <c r="V10" i="2"/>
  <c r="U10" i="2"/>
  <c r="Z10" i="2"/>
  <c r="W10" i="2"/>
  <c r="T10" i="2"/>
  <c r="K10" i="2" s="1"/>
  <c r="Z14" i="2"/>
  <c r="T14" i="2"/>
  <c r="K14" i="2" s="1"/>
  <c r="Y14" i="2"/>
  <c r="U14" i="2"/>
  <c r="X14" i="2"/>
  <c r="V16" i="2"/>
  <c r="U16" i="2"/>
  <c r="T16" i="2"/>
  <c r="K16" i="2" s="1"/>
  <c r="Z16" i="2"/>
  <c r="W16" i="2"/>
  <c r="K29" i="2"/>
  <c r="Z47" i="2"/>
  <c r="T47" i="2"/>
  <c r="K47" i="2" s="1"/>
  <c r="U47" i="2"/>
  <c r="X47" i="2"/>
  <c r="W47" i="2"/>
  <c r="V47" i="2"/>
  <c r="Y47" i="2"/>
  <c r="Z65" i="2"/>
  <c r="T65" i="2"/>
  <c r="K65" i="2" s="1"/>
  <c r="U65" i="2"/>
  <c r="X65" i="2"/>
  <c r="V65" i="2"/>
  <c r="W65" i="2"/>
  <c r="Y65" i="2"/>
  <c r="U9" i="2"/>
  <c r="Z9" i="2"/>
  <c r="T9" i="2"/>
  <c r="K9" i="2" s="1"/>
  <c r="Y9" i="2"/>
  <c r="V9" i="2"/>
  <c r="Y28" i="2"/>
  <c r="Z28" i="2"/>
  <c r="T28" i="2"/>
  <c r="K28" i="2" s="1"/>
  <c r="X28" i="2"/>
  <c r="V28" i="2"/>
  <c r="W28" i="2"/>
  <c r="Z35" i="2"/>
  <c r="T35" i="2"/>
  <c r="U35" i="2"/>
  <c r="X35" i="2"/>
  <c r="V35" i="2"/>
  <c r="W35" i="2"/>
  <c r="Y35" i="2"/>
  <c r="Y7" i="2"/>
  <c r="X7" i="2"/>
  <c r="Z7" i="2"/>
  <c r="T7" i="2"/>
  <c r="K7" i="2" s="1"/>
  <c r="W7" i="2"/>
  <c r="X10" i="2"/>
  <c r="X18" i="2"/>
  <c r="U18" i="2"/>
  <c r="Y18" i="2"/>
  <c r="W18" i="2"/>
  <c r="V18" i="2"/>
  <c r="K35" i="2"/>
  <c r="U40" i="2"/>
  <c r="Y46" i="2"/>
  <c r="Z46" i="2"/>
  <c r="T46" i="2"/>
  <c r="K46" i="2" s="1"/>
  <c r="X46" i="2"/>
  <c r="W46" i="2"/>
  <c r="V46" i="2"/>
  <c r="Z53" i="2"/>
  <c r="T53" i="2"/>
  <c r="U53" i="2"/>
  <c r="X53" i="2"/>
  <c r="W53" i="2"/>
  <c r="V53" i="2"/>
  <c r="Y53" i="2"/>
  <c r="U58" i="2"/>
  <c r="Y64" i="2"/>
  <c r="Z64" i="2"/>
  <c r="T64" i="2"/>
  <c r="K64" i="2" s="1"/>
  <c r="X64" i="2"/>
  <c r="W64" i="2"/>
  <c r="V64" i="2"/>
  <c r="Z71" i="2"/>
  <c r="T71" i="2"/>
  <c r="U71" i="2"/>
  <c r="X71" i="2"/>
  <c r="W71" i="2"/>
  <c r="Y71" i="2"/>
  <c r="V71" i="2"/>
  <c r="X75" i="2"/>
  <c r="Y75" i="2"/>
  <c r="U75" i="2"/>
  <c r="T75" i="2"/>
  <c r="K75" i="2" s="1"/>
  <c r="Z75" i="2"/>
  <c r="V75" i="2"/>
  <c r="X6" i="2"/>
  <c r="W6" i="2"/>
  <c r="V6" i="2"/>
  <c r="Y6" i="2"/>
  <c r="V8" i="2"/>
  <c r="W9" i="2"/>
  <c r="Y10" i="2"/>
  <c r="X12" i="2"/>
  <c r="W12" i="2"/>
  <c r="V12" i="2"/>
  <c r="Y12" i="2"/>
  <c r="V14" i="2"/>
  <c r="W15" i="2"/>
  <c r="Y16" i="2"/>
  <c r="Z20" i="2"/>
  <c r="T20" i="2"/>
  <c r="K20" i="2" s="1"/>
  <c r="Y20" i="2"/>
  <c r="X20" i="2"/>
  <c r="W20" i="2"/>
  <c r="U20" i="2"/>
  <c r="Z23" i="2"/>
  <c r="T23" i="2"/>
  <c r="K23" i="2" s="1"/>
  <c r="U23" i="2"/>
  <c r="X23" i="2"/>
  <c r="W23" i="2"/>
  <c r="V23" i="2"/>
  <c r="Y23" i="2"/>
  <c r="U28" i="2"/>
  <c r="Y34" i="2"/>
  <c r="Z34" i="2"/>
  <c r="T34" i="2"/>
  <c r="K34" i="2" s="1"/>
  <c r="X34" i="2"/>
  <c r="W34" i="2"/>
  <c r="V34" i="2"/>
  <c r="X39" i="2"/>
  <c r="Y39" i="2"/>
  <c r="U39" i="2"/>
  <c r="T39" i="2"/>
  <c r="K39" i="2" s="1"/>
  <c r="V39" i="2"/>
  <c r="Z39" i="2"/>
  <c r="K53" i="2"/>
  <c r="X57" i="2"/>
  <c r="Y57" i="2"/>
  <c r="U57" i="2"/>
  <c r="Z57" i="2"/>
  <c r="T57" i="2"/>
  <c r="K57" i="2" s="1"/>
  <c r="V57" i="2"/>
  <c r="K71" i="2"/>
  <c r="W5" i="2"/>
  <c r="U5" i="2"/>
  <c r="X5" i="2"/>
  <c r="V5" i="2"/>
  <c r="U7" i="2"/>
  <c r="W8" i="2"/>
  <c r="X9" i="2"/>
  <c r="W11" i="2"/>
  <c r="V11" i="2"/>
  <c r="X11" i="2"/>
  <c r="U11" i="2"/>
  <c r="U13" i="2"/>
  <c r="W14" i="2"/>
  <c r="X15" i="2"/>
  <c r="W17" i="2"/>
  <c r="V17" i="2"/>
  <c r="Z17" i="2"/>
  <c r="X17" i="2"/>
  <c r="U17" i="2"/>
  <c r="T18" i="2"/>
  <c r="K18" i="2" s="1"/>
  <c r="X27" i="2"/>
  <c r="Y27" i="2"/>
  <c r="U27" i="2"/>
  <c r="T27" i="2"/>
  <c r="K27" i="2" s="1"/>
  <c r="Z27" i="2"/>
  <c r="V27" i="2"/>
  <c r="Z41" i="2"/>
  <c r="T41" i="2"/>
  <c r="K41" i="2" s="1"/>
  <c r="U41" i="2"/>
  <c r="X41" i="2"/>
  <c r="W41" i="2"/>
  <c r="V41" i="2"/>
  <c r="Y41" i="2"/>
  <c r="U46" i="2"/>
  <c r="Y52" i="2"/>
  <c r="Z52" i="2"/>
  <c r="T52" i="2"/>
  <c r="K52" i="2" s="1"/>
  <c r="X52" i="2"/>
  <c r="V52" i="2"/>
  <c r="W52" i="2"/>
  <c r="Z59" i="2"/>
  <c r="T59" i="2"/>
  <c r="K59" i="2" s="1"/>
  <c r="U59" i="2"/>
  <c r="X59" i="2"/>
  <c r="W59" i="2"/>
  <c r="Y59" i="2"/>
  <c r="V59" i="2"/>
  <c r="U64" i="2"/>
  <c r="Y70" i="2"/>
  <c r="Z70" i="2"/>
  <c r="T70" i="2"/>
  <c r="K70" i="2" s="1"/>
  <c r="V70" i="2"/>
  <c r="X70" i="2"/>
  <c r="W70" i="2"/>
  <c r="W75" i="2"/>
  <c r="U24" i="2"/>
  <c r="V24" i="2"/>
  <c r="Z30" i="2"/>
  <c r="U36" i="2"/>
  <c r="V36" i="2"/>
  <c r="U42" i="2"/>
  <c r="V42" i="2"/>
  <c r="Z42" i="2"/>
  <c r="U48" i="2"/>
  <c r="V48" i="2"/>
  <c r="Z48" i="2"/>
  <c r="U54" i="2"/>
  <c r="V54" i="2"/>
  <c r="Z54" i="2"/>
  <c r="Z72" i="2"/>
  <c r="W24" i="2"/>
  <c r="K25" i="2"/>
  <c r="W26" i="2"/>
  <c r="X26" i="2"/>
  <c r="Z26" i="2"/>
  <c r="K31" i="2"/>
  <c r="W32" i="2"/>
  <c r="X32" i="2"/>
  <c r="Z32" i="2"/>
  <c r="W36" i="2"/>
  <c r="K37" i="2"/>
  <c r="W38" i="2"/>
  <c r="X38" i="2"/>
  <c r="Z38" i="2"/>
  <c r="W42" i="2"/>
  <c r="K43" i="2"/>
  <c r="W44" i="2"/>
  <c r="X44" i="2"/>
  <c r="Z44" i="2"/>
  <c r="W48" i="2"/>
  <c r="K49" i="2"/>
  <c r="W50" i="2"/>
  <c r="X50" i="2"/>
  <c r="Z50" i="2"/>
  <c r="W54" i="2"/>
  <c r="K55" i="2"/>
  <c r="W56" i="2"/>
  <c r="X56" i="2"/>
  <c r="Z56" i="2"/>
  <c r="K61" i="2"/>
  <c r="W62" i="2"/>
  <c r="X62" i="2"/>
  <c r="Z62" i="2"/>
  <c r="K67" i="2"/>
  <c r="W68" i="2"/>
  <c r="X68" i="2"/>
  <c r="Z68" i="2"/>
  <c r="K73" i="2"/>
  <c r="W74" i="2"/>
  <c r="X74" i="2"/>
  <c r="Z74" i="2"/>
  <c r="X21" i="2"/>
  <c r="Y21" i="2"/>
  <c r="U72" i="2"/>
  <c r="V72" i="2"/>
  <c r="V74" i="2"/>
  <c r="Z21" i="2"/>
  <c r="Z24" i="2"/>
  <c r="U30" i="2"/>
  <c r="V30" i="2"/>
  <c r="U60" i="2"/>
  <c r="V60" i="2"/>
  <c r="Z60" i="2"/>
  <c r="U66" i="2"/>
  <c r="V66" i="2"/>
  <c r="Z66" i="2"/>
  <c r="T21" i="2"/>
  <c r="K21" i="2" s="1"/>
  <c r="U21" i="2"/>
  <c r="T24" i="2"/>
  <c r="K24" i="2" s="1"/>
  <c r="V25" i="2"/>
  <c r="W25" i="2"/>
  <c r="Z25" i="2"/>
  <c r="Y26" i="2"/>
  <c r="T30" i="2"/>
  <c r="K30" i="2" s="1"/>
  <c r="V31" i="2"/>
  <c r="W31" i="2"/>
  <c r="Z31" i="2"/>
  <c r="Y32" i="2"/>
  <c r="T36" i="2"/>
  <c r="K36" i="2" s="1"/>
  <c r="V37" i="2"/>
  <c r="W37" i="2"/>
  <c r="Z37" i="2"/>
  <c r="Y38" i="2"/>
  <c r="T42" i="2"/>
  <c r="K42" i="2" s="1"/>
  <c r="V43" i="2"/>
  <c r="W43" i="2"/>
  <c r="Z43" i="2"/>
  <c r="Y44" i="2"/>
  <c r="T48" i="2"/>
  <c r="K48" i="2" s="1"/>
  <c r="V49" i="2"/>
  <c r="W49" i="2"/>
  <c r="Z49" i="2"/>
  <c r="Y50" i="2"/>
  <c r="T54" i="2"/>
  <c r="K54" i="2" s="1"/>
  <c r="V55" i="2"/>
  <c r="W55" i="2"/>
  <c r="Z55" i="2"/>
  <c r="Y56" i="2"/>
  <c r="T60" i="2"/>
  <c r="K60" i="2" s="1"/>
  <c r="V61" i="2"/>
  <c r="W61" i="2"/>
  <c r="Z61" i="2"/>
  <c r="Y62" i="2"/>
  <c r="T66" i="2"/>
  <c r="K66" i="2" s="1"/>
  <c r="V67" i="2"/>
  <c r="W67" i="2"/>
  <c r="Z67" i="2"/>
  <c r="Y68" i="2"/>
  <c r="T72" i="2"/>
  <c r="K72" i="2" s="1"/>
  <c r="V73" i="2"/>
  <c r="W73" i="2"/>
  <c r="Z73" i="2"/>
  <c r="Y74" i="2"/>
  <c r="S4" i="2"/>
  <c r="J4" i="2" l="1"/>
  <c r="R4" i="2" s="1"/>
  <c r="V4" i="2" l="1"/>
  <c r="T4" i="2"/>
  <c r="K4" i="2" s="1"/>
  <c r="U4" i="2"/>
  <c r="Y4" i="2"/>
  <c r="W4" i="2"/>
  <c r="Z4" i="2"/>
  <c r="X4" i="2"/>
</calcChain>
</file>

<file path=xl/sharedStrings.xml><?xml version="1.0" encoding="utf-8"?>
<sst xmlns="http://schemas.openxmlformats.org/spreadsheetml/2006/main" count="839" uniqueCount="342">
  <si>
    <t>21-100-35</t>
  </si>
  <si>
    <t>21-100-10</t>
  </si>
  <si>
    <t>21-100-27</t>
  </si>
  <si>
    <t>21-100-07</t>
  </si>
  <si>
    <t>21-100-18</t>
  </si>
  <si>
    <t>21-100-19</t>
  </si>
  <si>
    <t>21-100-20</t>
  </si>
  <si>
    <t>21-100-21</t>
  </si>
  <si>
    <t>21-100-22</t>
  </si>
  <si>
    <t>21-100-23</t>
  </si>
  <si>
    <t>21-100-06</t>
  </si>
  <si>
    <t>21-100-05</t>
  </si>
  <si>
    <t>21-100-04</t>
  </si>
  <si>
    <t>21-100-30</t>
  </si>
  <si>
    <t>21-100-31</t>
  </si>
  <si>
    <t>21-100-12</t>
  </si>
  <si>
    <t>21-100-36</t>
  </si>
  <si>
    <t>21-100-14</t>
  </si>
  <si>
    <t>21-100-15</t>
  </si>
  <si>
    <t>21-100-16</t>
  </si>
  <si>
    <t>21-100-17</t>
  </si>
  <si>
    <t>21-100-25</t>
  </si>
  <si>
    <t>21-100-33</t>
  </si>
  <si>
    <t>21-100-34</t>
  </si>
  <si>
    <t>21-100-24</t>
  </si>
  <si>
    <t>21-100-29</t>
  </si>
  <si>
    <t>21-402-04</t>
  </si>
  <si>
    <t>21-402-02</t>
  </si>
  <si>
    <t>21-402-03</t>
  </si>
  <si>
    <t>21-401-01</t>
  </si>
  <si>
    <t>21-401-02</t>
  </si>
  <si>
    <t>Imbalan kepada Tenaga Ahli (Pengacara, Akuntan, Arsitek, Dokter, Konsultan, Notaris, Pejabat Pembuat Akte Tanah, Penilai, Aktuaris)</t>
  </si>
  <si>
    <t>Imbalan kepada Penasihat, Pengajar, Pelatih, Penceramah, Penyuluh, dan Moderator</t>
  </si>
  <si>
    <t>Imbalan kepada Pengarang, Peneliti, Penerjemah</t>
  </si>
  <si>
    <t>Imbalan kepada Agen Iklan</t>
  </si>
  <si>
    <t>Imbalan kepada Pengawas atau Pengelola Proyek</t>
  </si>
  <si>
    <t>Imbalan kepada Pembawa Pesanan atau yang Menemukan Langganan atau yang Menjadi Perantara</t>
  </si>
  <si>
    <t>Imbalan kepada Petugas Penjaja Barang Dagangan</t>
  </si>
  <si>
    <t>Honor atau Imbalan Lain yang Dibebankan kepada APBN atau APBD yang Diterima oleh PNS Golongan I dan Golongan II, Anggota TNI dan Anggota POLRI Golongan Pangkat Tamtama dan Bintara, dan Pensiunannya</t>
  </si>
  <si>
    <t>Honor atau Imbalan Lain yang Dibebankan kepada APBN atau APBD yang Diterima oleh Pejabat Negara, PNS Golongan IV, Anggota TNI dan Anggota POLRI Golongan Pangkat Perwira Menengah dan Perwira Tinggi, dan Pensiunannya</t>
  </si>
  <si>
    <t>Uang Pesangon yang Dibayarkan Sekaligus</t>
  </si>
  <si>
    <t>Kode Objek Pajak</t>
  </si>
  <si>
    <t>Nama Objek Pajak</t>
  </si>
  <si>
    <t>Kode Fasilitas</t>
  </si>
  <si>
    <t>Nama Fasilitas</t>
  </si>
  <si>
    <t>N/A</t>
  </si>
  <si>
    <t>Tanpa Fasilitas</t>
  </si>
  <si>
    <t>DTP</t>
  </si>
  <si>
    <t>PPh Ditanggung Pemerintah (DTP)</t>
  </si>
  <si>
    <t>ETC</t>
  </si>
  <si>
    <t>Fasilitas Lainnya</t>
  </si>
  <si>
    <t>Kode Dokumen</t>
  </si>
  <si>
    <t>Nama Dokumen Referensi</t>
  </si>
  <si>
    <t>TaxInvoice</t>
  </si>
  <si>
    <t>CommercialInvoice</t>
  </si>
  <si>
    <t>Contract</t>
  </si>
  <si>
    <t>PaymentProof</t>
  </si>
  <si>
    <t>StatementLetter</t>
  </si>
  <si>
    <t>TaxExAr21</t>
  </si>
  <si>
    <t>NPWP Pemotong</t>
  </si>
  <si>
    <t>Masa Pajak</t>
  </si>
  <si>
    <t>Tahun Pajak</t>
  </si>
  <si>
    <t>NPWP</t>
  </si>
  <si>
    <t>ID TKU Penerima Penghasilan</t>
  </si>
  <si>
    <t>Fasilitas</t>
  </si>
  <si>
    <t>Tarif</t>
  </si>
  <si>
    <t>Jenis Dok. Referensi</t>
  </si>
  <si>
    <t>Nomor Dok. Referensi</t>
  </si>
  <si>
    <t>Tanggal Dok. Referensi</t>
  </si>
  <si>
    <t>ID TKU Pemotong</t>
  </si>
  <si>
    <t>Tanggal Pemotongan</t>
  </si>
  <si>
    <t>Surat Keterangan Bebas (SKB) Pemotongan PPh Pasal 21</t>
  </si>
  <si>
    <t>Penghasilan</t>
  </si>
  <si>
    <t>Deemed</t>
  </si>
  <si>
    <t>Status PTKP</t>
  </si>
  <si>
    <t>TK/0</t>
  </si>
  <si>
    <t>TK/1</t>
  </si>
  <si>
    <t>TK/2</t>
  </si>
  <si>
    <t>TK/3</t>
  </si>
  <si>
    <t>K/0</t>
  </si>
  <si>
    <t>K/1</t>
  </si>
  <si>
    <t>K/2</t>
  </si>
  <si>
    <t>K/3</t>
  </si>
  <si>
    <t>Kolom pada excel</t>
  </si>
  <si>
    <t>Kolom pada xml</t>
  </si>
  <si>
    <t>Petunjuk pengisian</t>
  </si>
  <si>
    <t>Contoh pengisian</t>
  </si>
  <si>
    <t>Keterangan tambahan</t>
  </si>
  <si>
    <t>TIN</t>
  </si>
  <si>
    <t>Diisi dengan NPWP pemotong</t>
  </si>
  <si>
    <t>1234567890123456</t>
  </si>
  <si>
    <t>TaxPeriodMonth</t>
  </si>
  <si>
    <t>Diisi dengan masa pajak pemotongan</t>
  </si>
  <si>
    <t>1</t>
  </si>
  <si>
    <t>TaxPeriodYear</t>
  </si>
  <si>
    <t>2025</t>
  </si>
  <si>
    <t>CounterpartTin</t>
  </si>
  <si>
    <t>Diisi dengan NIK penerima penghasilan</t>
  </si>
  <si>
    <t>0987654321098765</t>
  </si>
  <si>
    <t>IDPlaceOfBusinessActivityOfIncomeRecipient</t>
  </si>
  <si>
    <t>Diisi dengan ID TKU penerima penghasilan</t>
  </si>
  <si>
    <t>0987654321098765432109</t>
  </si>
  <si>
    <t>StatusTaxExemption</t>
  </si>
  <si>
    <t>Diisi dengan status PTKP penerima penghasilan</t>
  </si>
  <si>
    <t>TaxCertificate</t>
  </si>
  <si>
    <t>Diisi dengan fasilitas perpajakan yang digunakan</t>
  </si>
  <si>
    <t>TaxObjectCode</t>
  </si>
  <si>
    <t>Diisi dengan kode objek pajak</t>
  </si>
  <si>
    <t>21-100-03</t>
  </si>
  <si>
    <t>Gross</t>
  </si>
  <si>
    <t>Diisi dengan penghasilan bruto</t>
  </si>
  <si>
    <t>Diisi dengan norma penghasilan bruto</t>
  </si>
  <si>
    <t>Rate</t>
  </si>
  <si>
    <t>Diisi dengan tarif yang sesuai dengan referensi kode objek pajak</t>
  </si>
  <si>
    <t>Jika tarif menggunakan koma, di export ke xml, excel secara otomatis akan merubah menjadi format desimal menggunakan titik</t>
  </si>
  <si>
    <t>Document</t>
  </si>
  <si>
    <t>Diisi dengan jenis dokumen yang menjadi dasar pemotongan</t>
  </si>
  <si>
    <t>DocumentNumber</t>
  </si>
  <si>
    <t>Diisi dengan nomor dokumen dasar pemotongan</t>
  </si>
  <si>
    <t>0100012292489165</t>
  </si>
  <si>
    <t>DocumentDate</t>
  </si>
  <si>
    <t>Diisi dengan tanggal dokumen dasar pemotongan</t>
  </si>
  <si>
    <t>Saat di export ke xml, excel secara otomatis akan merubah menjadi format YYYY-MM-DD</t>
  </si>
  <si>
    <t>IDPlaceOfBusinessActivity</t>
  </si>
  <si>
    <t>Diisi dengan ID TKU pemotong</t>
  </si>
  <si>
    <t>1234567890123456789012</t>
  </si>
  <si>
    <t>WithholdingDate</t>
  </si>
  <si>
    <t>Diisi dengan tanggal pemotongan</t>
  </si>
  <si>
    <t>Validasi</t>
  </si>
  <si>
    <t>NPWP Pemotong harus sama dengan NPWP login</t>
  </si>
  <si>
    <t>NPWP/NIK wajib valid</t>
  </si>
  <si>
    <t>Jika menggunakan fasilitas perpajakan lainnya, tarif dapat diisi tidak sesuai dengan referensi kode objek pajak</t>
  </si>
  <si>
    <t>Jika Document = TaxInvoice, maka document number wajib nomor faktur pajak yang valid</t>
  </si>
  <si>
    <t>Jika Document = TaxInvoice, maka document date wajib sesuai dengan tanggal faktur pajak</t>
  </si>
  <si>
    <t>Tanggal pemotongan tidak boleh lebih rendah dari masa/tahun pajak bukti potong</t>
  </si>
  <si>
    <t>Announcement</t>
  </si>
  <si>
    <t>Pengumuman</t>
  </si>
  <si>
    <t>Surat Tagihan</t>
  </si>
  <si>
    <t>Kontrak</t>
  </si>
  <si>
    <t>CurrentAccount</t>
  </si>
  <si>
    <t>Jasa Giro</t>
  </si>
  <si>
    <t>Decree</t>
  </si>
  <si>
    <t>DeedOfEngagement</t>
  </si>
  <si>
    <t>Akta Perjanjian</t>
  </si>
  <si>
    <t>DeedOfGeneral</t>
  </si>
  <si>
    <t>Akta RUPS</t>
  </si>
  <si>
    <t>Other</t>
  </si>
  <si>
    <t>Lainnya</t>
  </si>
  <si>
    <t>OtherFacilityDoc</t>
  </si>
  <si>
    <t>Dokumen Fasilitas Lainnya</t>
  </si>
  <si>
    <t>Bukti Pembayaran</t>
  </si>
  <si>
    <t>Surat Pernyataan</t>
  </si>
  <si>
    <t>Faktur Pajak</t>
  </si>
  <si>
    <t>TaxRegulationDoc</t>
  </si>
  <si>
    <t>Dokumen Perpajakan</t>
  </si>
  <si>
    <t>TradeConfirmation</t>
  </si>
  <si>
    <t>Trade Confirmation</t>
  </si>
  <si>
    <t>Jika menggunakan fasilitas perpajakan lainnya, norma dapat diisi tidak sesuai dengan referensi kode objek pajak</t>
  </si>
  <si>
    <t>TER A</t>
  </si>
  <si>
    <t>TER B</t>
  </si>
  <si>
    <t>TER C</t>
  </si>
  <si>
    <t>PS17</t>
  </si>
  <si>
    <t>21-100-37</t>
  </si>
  <si>
    <t>Penghasilan yang Diterima atau Diperoleh Pegawai Tetap di Daerah Tertentu yang Tidak Memenuhi Persyaratan Fasilitas</t>
  </si>
  <si>
    <t>Upah Pegawai Tidak Tetap yang Dibayarkan secara Bulanan</t>
  </si>
  <si>
    <t>Honorarium atau Imbalan kepada Anggota Dewan Komisaris atau Dewan Pengawas yang Menerima Imbalan secara Tidak Teratur</t>
  </si>
  <si>
    <t>Upah Pegawai Tidak Tetap yang Dibayarkan secara Bulanan yang Mendapat Fasilitas di Daerah Tertentu</t>
  </si>
  <si>
    <t>Imbalan kepada Pemberi Jasa dalam Segala Bidang</t>
  </si>
  <si>
    <t>Imbalan kepada Agen Asuransi</t>
  </si>
  <si>
    <t>Imbalan kepada Distributor Perusahaan Pemasaran Berjenjang atau Penjualan Langsung dan Kegiatan Sejenis Lainnya</t>
  </si>
  <si>
    <t>Upah Pegawai Tidak Tetap yang Dibayarkan secara Harian, Mingguan, Satuan dan Borongan dengan Penghasilan Bruto lebih dari Rp2.500.000 Sehari</t>
  </si>
  <si>
    <t>Upah Pegawai Tidak Tetap yang Dibayarkan secara Harian, Mingguan, Satuan dan Borongan dengan Penghasilan Bruto lebih dari Rp2.500.000 Sehari yang Mendapat Fasilitas di Daerah Tertentu</t>
  </si>
  <si>
    <t>Uang Manfaat Pensiun atau Penghasilan Sejenisnya yang diambil sebagian oleh Peserta Program Pensiun yang Masih Berstatus sebagai Pegawai</t>
  </si>
  <si>
    <t>Imbalan  kepada Peserta Perlombaan dalam Segala Bidang, antara lain Perlombaan Olah Raga, Seni, Ketangkasan, Ilmu Pengetahuan, Teknologi, dan Perlombaan Lainnya</t>
  </si>
  <si>
    <t>Imbalan kepada Peserta Rapat, Konferensi, Sidang, Pertemuan, Kunjungan Kerja, Seminar, Lokakarya, atau Pertunjukan, atau Kegiatan Tertentu Lainnya</t>
  </si>
  <si>
    <t>Imbalan kepada Peserta atau Anggota dalam Suatu Kepanitiaan sebagai Penyelenggara Kegiatan Tertentu</t>
  </si>
  <si>
    <t>Imbalan kepada Peserta Pendidikan, Pelatihan, dan Magang</t>
  </si>
  <si>
    <t>Imbalan kepada Peserta Kegiatan Lainnya</t>
  </si>
  <si>
    <t>Penghasilan berupa Uang Pesangon, Uang Manfaat Pensiun, Tunjangan Hari Tua, atau Jaminan Hari Tua yang Terutang atau Dibayarkan pada Tahun Ketiga dan Tahun-Tahun Berikutnya</t>
  </si>
  <si>
    <t>Imbalan kepada Pemain Musik, Pembawa Acara, Penyanyi, Pelawak, Bintang Film, Bintang Sinetron, Bintang Iklan, Sutradara, Kru Film, Foto Model, Peragawan/Peragawati, Pemain Drama, Penari, Pemahat, Pelukis, Pembuat/Pencipta Konten pada Media yang Dibagikan secara Daring (Influencer, Selebgram, Blogger, Vlogger, dan Sejenis Lainnya), dan Seniman Lainnya</t>
  </si>
  <si>
    <t>Imbalan yang Diterima oleh Olahragawan</t>
  </si>
  <si>
    <t>Upah Pegawai Tidak Tetap yang Dibayarkan secara Harian, Mingguan, Satuan dan Borongan dengan Penghasilan Bruto sampai dengan Rp2.500.000 Sehari</t>
  </si>
  <si>
    <t>Upah Pegawai Tidak Tetap yang Dibayarkan secara Harian, Mingguan, Satuan dan Borongan dengan Penghasilan Bruto sampai dengan Rp2.500.000 Sehari yang Mendapat Fasilitas di Daerah Tertentu</t>
  </si>
  <si>
    <t>Honor atau Imbalan Lain yang Dibebankan kepada APBN atau APBD yang Diterima oleh PNS Golongan III, Anggota TNI dan Anggota POLRI Golongan Pangkat Perwira Pertama, dan Pensiunannya</t>
  </si>
  <si>
    <t>Uang Manfaat Pensiun, Tunjangan Hari Tua, atau Jaminan Hari Tua yang Dibayarkan Sekaligus</t>
  </si>
  <si>
    <t>TER</t>
  </si>
  <si>
    <t>HARIAN</t>
  </si>
  <si>
    <t>PESANGON</t>
  </si>
  <si>
    <t>PENSIUN</t>
  </si>
  <si>
    <t>DPP</t>
  </si>
  <si>
    <t>JNSTARIF</t>
  </si>
  <si>
    <t>3374061210850003</t>
  </si>
  <si>
    <t>3201130705990006</t>
  </si>
  <si>
    <t>3205280402920004</t>
  </si>
  <si>
    <t>3174090510760006</t>
  </si>
  <si>
    <t>3276016501040002</t>
  </si>
  <si>
    <t>3276014206040002</t>
  </si>
  <si>
    <t>3275010901050001</t>
  </si>
  <si>
    <t>3305096106040002</t>
  </si>
  <si>
    <t>3276015306040010</t>
  </si>
  <si>
    <t>3201370904050001</t>
  </si>
  <si>
    <t>3201135806040000</t>
  </si>
  <si>
    <t>3175052904030003</t>
  </si>
  <si>
    <t>3276022909040002</t>
  </si>
  <si>
    <t>3216060507960022</t>
  </si>
  <si>
    <t>3172030801010002</t>
  </si>
  <si>
    <t>3175040805040002</t>
  </si>
  <si>
    <t>3208141412040002</t>
  </si>
  <si>
    <t>3276060109040002</t>
  </si>
  <si>
    <t>3174041602001001</t>
  </si>
  <si>
    <t>3174104504020003</t>
  </si>
  <si>
    <t>3201280808980006</t>
  </si>
  <si>
    <t>3174095609030002</t>
  </si>
  <si>
    <t>3201291510820003</t>
  </si>
  <si>
    <t>3216053011950006</t>
  </si>
  <si>
    <t>3172044205030005</t>
  </si>
  <si>
    <t>3173053005840017</t>
  </si>
  <si>
    <t>3329021111970001</t>
  </si>
  <si>
    <t>1802052204970004</t>
  </si>
  <si>
    <t>3312101812980003</t>
  </si>
  <si>
    <t>1802052102020005</t>
  </si>
  <si>
    <t>3201290909940011</t>
  </si>
  <si>
    <t>3174052407030003</t>
  </si>
  <si>
    <t>3276050710980004</t>
  </si>
  <si>
    <t>3201400708880007</t>
  </si>
  <si>
    <t>1802142905020002</t>
  </si>
  <si>
    <t>7373011808930003</t>
  </si>
  <si>
    <t>3217142903990002</t>
  </si>
  <si>
    <t>3174036403920006</t>
  </si>
  <si>
    <t>3174040702010004</t>
  </si>
  <si>
    <t>3174040702070007</t>
  </si>
  <si>
    <t>3174042410070002</t>
  </si>
  <si>
    <t>3174073005071002</t>
  </si>
  <si>
    <t>3174091612050006</t>
  </si>
  <si>
    <t>3174095001050003</t>
  </si>
  <si>
    <t>3175010470807008</t>
  </si>
  <si>
    <t>3175042111236095</t>
  </si>
  <si>
    <t>3175044201040001</t>
  </si>
  <si>
    <t>3175044705060006</t>
  </si>
  <si>
    <t>3175045501041002</t>
  </si>
  <si>
    <t>3201011409090006</t>
  </si>
  <si>
    <t>3201131108890004</t>
  </si>
  <si>
    <t>3201131110050002</t>
  </si>
  <si>
    <t>3201132511070005</t>
  </si>
  <si>
    <t>3201136011040010</t>
  </si>
  <si>
    <t>3201144204070005</t>
  </si>
  <si>
    <t>3201251812910003</t>
  </si>
  <si>
    <t>3201370903060007</t>
  </si>
  <si>
    <t>3201371204700014</t>
  </si>
  <si>
    <t>3201371404050002</t>
  </si>
  <si>
    <t>3202041409050001</t>
  </si>
  <si>
    <t>3202461507000001</t>
  </si>
  <si>
    <t>3213240208050001</t>
  </si>
  <si>
    <t>3275120601830002</t>
  </si>
  <si>
    <t>3276011209060007</t>
  </si>
  <si>
    <t>3276012405860004</t>
  </si>
  <si>
    <t>3276051602060004</t>
  </si>
  <si>
    <t>3276052503040007</t>
  </si>
  <si>
    <t>3276066105070006</t>
  </si>
  <si>
    <t>3276071602070003</t>
  </si>
  <si>
    <t>3276072012040001</t>
  </si>
  <si>
    <t>3276090308060001</t>
  </si>
  <si>
    <t>3311071411060002</t>
  </si>
  <si>
    <t>3471120906980001</t>
  </si>
  <si>
    <t>8104010912060002</t>
  </si>
  <si>
    <t>3374061210850003000000</t>
  </si>
  <si>
    <t>3201130705990006000000</t>
  </si>
  <si>
    <t>3205280402920004000000</t>
  </si>
  <si>
    <t>3174090510760006000000</t>
  </si>
  <si>
    <t>3276016501040002000000</t>
  </si>
  <si>
    <t>3276014206040002000000</t>
  </si>
  <si>
    <t>3275010901050001000000</t>
  </si>
  <si>
    <t>3305096106040002000000</t>
  </si>
  <si>
    <t>3276015306040010000000</t>
  </si>
  <si>
    <t>3201370904050001000000</t>
  </si>
  <si>
    <t>3201135806040000000000</t>
  </si>
  <si>
    <t>3175052904030003000000</t>
  </si>
  <si>
    <t>3276022909040002000000</t>
  </si>
  <si>
    <t>3216060507960022000000</t>
  </si>
  <si>
    <t>3172030801010002000000</t>
  </si>
  <si>
    <t>3175040805040002000000</t>
  </si>
  <si>
    <t>3208141412040002000000</t>
  </si>
  <si>
    <t>3276060109040002000000</t>
  </si>
  <si>
    <t>3174041602001001000000</t>
  </si>
  <si>
    <t>3174104504020003000000</t>
  </si>
  <si>
    <t>3201280808980006000000</t>
  </si>
  <si>
    <t>3174095609030002000000</t>
  </si>
  <si>
    <t>3201291510820003000000</t>
  </si>
  <si>
    <t>3216053011950006000000</t>
  </si>
  <si>
    <t>3172044205030005000000</t>
  </si>
  <si>
    <t>3173053005840017000000</t>
  </si>
  <si>
    <t>3329021111970001000000</t>
  </si>
  <si>
    <t>1802052204970004000000</t>
  </si>
  <si>
    <t>3312101812980003000000</t>
  </si>
  <si>
    <t>1802052102020005000000</t>
  </si>
  <si>
    <t>3201290909940011000000</t>
  </si>
  <si>
    <t>3174052407030003000000</t>
  </si>
  <si>
    <t>3276050710980004000000</t>
  </si>
  <si>
    <t>3201400708880007000000</t>
  </si>
  <si>
    <t>1802142905020002000000</t>
  </si>
  <si>
    <t>7373011808930003000000</t>
  </si>
  <si>
    <t>3217142903990002000000</t>
  </si>
  <si>
    <t>3174036403920006000000</t>
  </si>
  <si>
    <t>3174040702010004000000</t>
  </si>
  <si>
    <t>3174040702070007000000</t>
  </si>
  <si>
    <t>3174042410070002000000</t>
  </si>
  <si>
    <t>3174073005071002000000</t>
  </si>
  <si>
    <t>3174091612050006000000</t>
  </si>
  <si>
    <t>3174095001050003000000</t>
  </si>
  <si>
    <t>3175010470807008000000</t>
  </si>
  <si>
    <t>3175042111236095000000</t>
  </si>
  <si>
    <t>3175044201040001000000</t>
  </si>
  <si>
    <t>3175044705060006000000</t>
  </si>
  <si>
    <t>3175045501041002000000</t>
  </si>
  <si>
    <t>3201011409090006000000</t>
  </si>
  <si>
    <t>3201131108890004000000</t>
  </si>
  <si>
    <t>3201131110050002000000</t>
  </si>
  <si>
    <t>3201132511070005000000</t>
  </si>
  <si>
    <t>3201136011040010000000</t>
  </si>
  <si>
    <t>3201144204070005000000</t>
  </si>
  <si>
    <t>3201251812910003000000</t>
  </si>
  <si>
    <t>3201370903060007000000</t>
  </si>
  <si>
    <t>3201371204700014000000</t>
  </si>
  <si>
    <t>3201371404050002000000</t>
  </si>
  <si>
    <t>3202041409050001000000</t>
  </si>
  <si>
    <t>3202461507000001000000</t>
  </si>
  <si>
    <t>3213240208050001000000</t>
  </si>
  <si>
    <t>3275120601830002000000</t>
  </si>
  <si>
    <t>3276011209060007000000</t>
  </si>
  <si>
    <t>3276012405860004000000</t>
  </si>
  <si>
    <t>3276051602060004000000</t>
  </si>
  <si>
    <t>3276052503040007000000</t>
  </si>
  <si>
    <t>3276066105070006000000</t>
  </si>
  <si>
    <t>3276071602070003000000</t>
  </si>
  <si>
    <t>3276072012040001000000</t>
  </si>
  <si>
    <t>3276090308060001000000</t>
  </si>
  <si>
    <t>3311071411060002000000</t>
  </si>
  <si>
    <t>3471120906980001000000</t>
  </si>
  <si>
    <t>8104010912060002000000</t>
  </si>
  <si>
    <t>-</t>
  </si>
  <si>
    <t>0668176225064000</t>
  </si>
  <si>
    <t>0668176225064000000000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</si>
</sst>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6" x14ac:knownFonts="1">
    <font>
      <sz val="11"/>
      <color theme="1"/>
      <name val="Calibri"/>
      <family val="2"/>
      <scheme val="minor"/>
    </font>
    <font>
      <sz val="11"/>
      <color theme="1"/>
      <name val="Calibri"/>
      <family val="2"/>
      <charset val="1"/>
      <scheme val="minor"/>
    </font>
    <font>
      <b/>
      <sz val="11"/>
      <color theme="1"/>
      <name val="Calibri"/>
      <family val="2"/>
      <scheme val="minor"/>
    </font>
    <font>
      <sz val="11"/>
      <color theme="1"/>
      <name val="Calibri"/>
      <family val="2"/>
      <charset val="1"/>
      <scheme val="minor"/>
    </font>
    <font>
      <sz val="11"/>
      <color theme="1"/>
      <name val="Calibri"/>
      <family val="2"/>
      <scheme val="minor"/>
    </font>
    <font>
      <sz val="10"/>
      <color rgb="FF00000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3" fillId="0" borderId="0"/>
    <xf numFmtId="164" fontId="4" fillId="0" borderId="0" applyFont="0" applyFill="0" applyBorder="0" applyAlignment="0" applyProtection="0"/>
  </cellStyleXfs>
  <cellXfs count="15">
    <xf numFmtId="0" fontId="0" fillId="0" borderId="0" xfId="0"/>
    <xf numFmtId="0" fontId="0" fillId="0" borderId="0" xfId="0" quotePrefix="1"/>
    <xf numFmtId="49" fontId="0" fillId="0" borderId="0" xfId="0" quotePrefix="1" applyNumberFormat="1"/>
    <xf numFmtId="49" fontId="0" fillId="0" borderId="0" xfId="0" applyNumberFormat="1"/>
    <xf numFmtId="14" fontId="0" fillId="0" borderId="0" xfId="0" applyNumberFormat="1"/>
    <xf numFmtId="0" fontId="2" fillId="0" borderId="0" xfId="1" applyFont="1"/>
    <xf numFmtId="0" fontId="3" fillId="0" borderId="0" xfId="1"/>
    <xf numFmtId="0" fontId="3" fillId="0" borderId="0" xfId="1" quotePrefix="1" applyAlignment="1">
      <alignment horizontal="right"/>
    </xf>
    <xf numFmtId="0" fontId="3" fillId="0" borderId="0" xfId="1" applyAlignment="1">
      <alignment horizontal="right"/>
    </xf>
    <xf numFmtId="14" fontId="3" fillId="0" borderId="0" xfId="1" quotePrefix="1" applyNumberFormat="1" applyAlignment="1">
      <alignment horizontal="right"/>
    </xf>
    <xf numFmtId="0" fontId="1" fillId="0" borderId="0" xfId="1" quotePrefix="1" applyFont="1" applyAlignment="1">
      <alignment horizontal="left"/>
    </xf>
    <xf numFmtId="14" fontId="1" fillId="0" borderId="0" xfId="1" quotePrefix="1" applyNumberFormat="1" applyFont="1" applyAlignment="1">
      <alignment horizontal="left"/>
    </xf>
    <xf numFmtId="0" fontId="0" fillId="0" borderId="0" xfId="2" applyNumberFormat="1" applyFont="1"/>
    <xf numFmtId="0" fontId="0" fillId="0" borderId="0" xfId="0" applyAlignment="1">
      <alignment horizontal="center"/>
    </xf>
    <xf numFmtId="0" fontId="5" fillId="0" borderId="0" xfId="0" quotePrefix="1" applyFont="1"/>
  </cellXfs>
  <cellStyles count="3">
    <cellStyle name="Comma" xfId="2" builtinId="3"/>
    <cellStyle name="Normal" xfId="0" builtinId="0"/>
    <cellStyle name="Normal 2" xfId="1" xr:uid="{00000000-0005-0000-0000-000001000000}"/>
  </cellStyles>
  <dxfs count="9">
    <dxf>
      <numFmt numFmtId="165" formatCode="dd/mm/yyyy"/>
    </dxf>
    <dxf>
      <numFmt numFmtId="30" formatCode="@"/>
    </dxf>
    <dxf>
      <numFmt numFmtId="30" formatCode="@"/>
    </dxf>
    <dxf>
      <numFmt numFmtId="0" formatCode="General"/>
    </dxf>
    <dxf>
      <numFmt numFmtId="30" formatCode="@"/>
    </dxf>
    <dxf>
      <numFmt numFmtId="30" formatCode="@"/>
    </dxf>
    <dxf>
      <numFmt numFmtId="30" formatCode="@"/>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id="BP21" elementFormDefault="qualified" attributeFormDefault="unqualified">
      <xsd:simpleType name="TinType">
        <xsd:restriction base="xsd:string">
          <xsd:pattern value="[0-9]{15,16}"/>
        </xsd:restriction>
      </xsd:simpleType>
      <xsd:simpleType name="NonEmptyStringType">
        <xsd:restriction base="xsd:string">
          <xsd:minLength value="1"/>
        </xsd:restriction>
      </xsd:simpleType>
      <xsd:simpleType name="TaxBaseRateType">
        <xsd:restriction base="xsd:decimal">
          <xsd:minExclusive value="0"/>
        </xsd:restriction>
      </xsd:simpleType>
      <xsd:simpleType name="TaxType">
        <xsd:restriction base="xsd:decimal">
          <xsd:minInclusive value="0"/>
        </xsd:restriction>
      </xsd:simpleType>
      <xsd:simpleType name="TaxCertificateType" final="restriction">
        <xsd:restriction base="xsd:string">
          <xsd:enumeration value="N/A"/>
          <xsd:enumeration value="TaxExAr21"/>
          <xsd:enumeration value="DTP"/>
          <xsd:enumeration value="ETC"/>
        </xsd:restriction>
      </xsd:simpleType>
      <xsd:simpleType name="DocType" final="restriction">
        <xsd:restriction base="xsd:string">
          <xsd:enumeration value="TaxInvoice"/>
          <xsd:enumeration value="CommercialInvoice"/>
          <xsd:enumeration value="Announchment"/>
          <xsd:enumeration value="Contract"/>
          <xsd:enumeration value="PaymentProof"/>
          <xsd:enumeration value="DeedofEngangement"/>
          <xsd:enumeration value="DeedofGeneralMeetingStakeholder"/>
          <xsd:enumeration value="StatementLetter"/>
          <xsd:enumeration value="BankAccountNumber"/>
        </xsd:restriction>
      </xsd:simpleType>
      <xsd:element name="Bp21Bulk" type="Bp21BulkType"/>
      <xsd:complexType name="Bp21BulkType">
        <xsd:sequence>
          <xsd:element name="TIN" type="TinType" maxOccurs="1" minOccurs="1"/>
          <xsd:element name="ListOfBp21" minOccurs="1" maxOccurs="1" type="ListOfBp21Type"/>
        </xsd:sequence>
      </xsd:complexType>
      <xsd:complexType name="ListOfBp21Type">
        <xsd:sequence>
          <xsd:element name="Bp21" type="Bp21Type" maxOccurs="unbounded" minOccurs="1"/>
        </xsd:sequence>
      </xsd:complexType>
      <xsd:simpleType name="PtkpType" final="restriction">
        <xsd:restriction base="xsd:string">
          <xsd:enumeration value="TK/0"/>
          <xsd:enumeration value="TK/1"/>
          <xsd:enumeration value="TK/2"/>
          <xsd:enumeration value="TK/3"/>
          <xsd:enumeration value="K/0"/>
          <xsd:enumeration value="K/1"/>
          <xsd:enumeration value="K/2"/>
          <xsd:enumeration value="K/3"/>
        </xsd:restriction>
      </xsd:simpleType>
      <xsd:complexType name="Bp21Type">
        <xsd:sequence>
          <xsd:element name="TaxPeriodMonth" type="xsd:integer" nillable="false"/>
          <xsd:element name="TaxPeriodYear" type="xsd:integer" nillable="false"/>
          <xsd:element name="CounterpartTin" type="xsd:string" nillable="false"/>
          <xsd:element name="IDPlaceOfBusinessActivityOfIncomeRecipient" type="xsd:string" nillable="false"/>
          <xsd:element name="StatusTaxExemption" type="PtkpType"/>
          <xsd:element name="TaxCertificate" type="TaxCertificateType"/>
          <xsd:element name="TaxObjectCode" type="NonEmptyStringType"/>
          <xsd:element name="Gross" type="TaxBaseRateType"/>
          <xsd:element name="Deemed" type="TaxType"/>
          <xsd:element name="Rate" type="TaxType"/>
          <xsd:element name="Document" type="DocType"/>
          <xsd:element name="DocumentNumber" type="NonEmptyStringType"/>
          <xsd:element name="DocumentDate" type="xsd:date" nillable="true"/>
          <xsd:element name="IDPlaceOfBusinessActivity" type="NonEmptyStringType"/>
          <xsd:element name="WithholdingDate" type="xsd:date"/>
        </xsd:sequence>
      </xsd:complexType>
    </xsd:schema>
  </Schema>
  <Map ID="1" Name="Bp21Bulk_Map" RootElement="Bp21Bulk" SchemaID="Schema1"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xmlMaps" Target="xmlMap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3:P77" tableType="xml" totalsRowShown="0">
  <autoFilter ref="B3:P77" xr:uid="{00000000-0009-0000-0100-000001000000}"/>
  <tableColumns count="15">
    <tableColumn id="1" xr3:uid="{00000000-0010-0000-0000-000001000000}" uniqueName="TaxPeriodMonth" name="Masa Pajak">
      <xmlColumnPr mapId="1" xpath="/Bp21Bulk/ListOfBp21/Bp21/TaxPeriodMonth" xmlDataType="integer"/>
    </tableColumn>
    <tableColumn id="2" xr3:uid="{00000000-0010-0000-0000-000002000000}" uniqueName="TaxPeriodYear" name="Tahun Pajak">
      <xmlColumnPr mapId="1" xpath="/Bp21Bulk/ListOfBp21/Bp21/TaxPeriodYear" xmlDataType="integer"/>
    </tableColumn>
    <tableColumn id="3" xr3:uid="{00000000-0010-0000-0000-000003000000}" uniqueName="CounterpartTin" name="NPWP" dataDxfId="8">
      <xmlColumnPr mapId="1" xpath="/Bp21Bulk/ListOfBp21/Bp21/CounterpartTin" xmlDataType="string"/>
    </tableColumn>
    <tableColumn id="5" xr3:uid="{00000000-0010-0000-0000-000005000000}" uniqueName="IDPlaceOfBusinessActivityOfIncomeRecipient" name="ID TKU Penerima Penghasilan" dataDxfId="7">
      <xmlColumnPr mapId="1" xpath="/Bp21Bulk/ListOfBp21/Bp21/IDPlaceOfBusinessActivityOfIncomeRecipient" xmlDataType="string"/>
    </tableColumn>
    <tableColumn id="17" xr3:uid="{00000000-0010-0000-0000-000011000000}" uniqueName="StatusTaxExemption" name="Status PTKP" dataDxfId="6">
      <xmlColumnPr mapId="1" xpath="/Bp21Bulk/ListOfBp21/Bp21/StatusTaxExemption" xmlDataType="string"/>
    </tableColumn>
    <tableColumn id="6" xr3:uid="{00000000-0010-0000-0000-000006000000}" uniqueName="TaxCertificate" name="Fasilitas" dataDxfId="5">
      <xmlColumnPr mapId="1" xpath="/Bp21Bulk/ListOfBp21/Bp21/TaxCertificate" xmlDataType="string"/>
    </tableColumn>
    <tableColumn id="7" xr3:uid="{00000000-0010-0000-0000-000007000000}" uniqueName="TaxObjectCode" name="Kode Objek Pajak" dataDxfId="4">
      <xmlColumnPr mapId="1" xpath="/Bp21Bulk/ListOfBp21/Bp21/TaxObjectCode" xmlDataType="string"/>
    </tableColumn>
    <tableColumn id="8" xr3:uid="{00000000-0010-0000-0000-000008000000}" uniqueName="Gross" name="Penghasilan">
      <xmlColumnPr mapId="1" xpath="/Bp21Bulk/ListOfBp21/Bp21/Gross" xmlDataType="decimal"/>
    </tableColumn>
    <tableColumn id="4" xr3:uid="{00000000-0010-0000-0000-000004000000}" uniqueName="Deemed" name="Deemed">
      <xmlColumnPr mapId="1" xpath="/Bp21Bulk/ListOfBp21/Bp21/Deemed" xmlDataType="decimal"/>
    </tableColumn>
    <tableColumn id="9" xr3:uid="{00000000-0010-0000-0000-000009000000}" uniqueName="Rate" name="Tarif" dataDxfId="3">
      <calculatedColumnFormula>IF(S4="TER",IF(OR(F4="TK/0",F4="TK/1",F4="K/0",F4="HB/0",F4="HB/1"),T4,IF(OR(F4="TK/2",F4="TK/3",F4="K/1",F4="K/2",F4="HB/2",F4="HB/3"),U4,V4)),IF(S4="PS17",W4,IF(S4="HARIAN",X4,IF(S4="PESANGON",Y4,IF(S4="PENSIUN",Z4,S4)))))</calculatedColumnFormula>
      <xmlColumnPr mapId="1" xpath="/Bp21Bulk/ListOfBp21/Bp21/Rate" xmlDataType="decimal"/>
    </tableColumn>
    <tableColumn id="10" xr3:uid="{00000000-0010-0000-0000-00000A000000}" uniqueName="Document" name="Jenis Dok. Referensi" dataDxfId="2">
      <xmlColumnPr mapId="1" xpath="/Bp21Bulk/ListOfBp21/Bp21/Document" xmlDataType="string"/>
    </tableColumn>
    <tableColumn id="11" xr3:uid="{00000000-0010-0000-0000-00000B000000}" uniqueName="DocumentNumber" name="Nomor Dok. Referensi">
      <xmlColumnPr mapId="1" xpath="/Bp21Bulk/ListOfBp21/Bp21/DocumentNumber" xmlDataType="string"/>
    </tableColumn>
    <tableColumn id="12" xr3:uid="{00000000-0010-0000-0000-00000C000000}" uniqueName="DocumentDate" name="Tanggal Dok. Referensi">
      <xmlColumnPr mapId="1" xpath="/Bp21Bulk/ListOfBp21/Bp21/DocumentDate" xmlDataType="date"/>
    </tableColumn>
    <tableColumn id="13" xr3:uid="{00000000-0010-0000-0000-00000D000000}" uniqueName="IDPlaceOfBusinessActivity" name="ID TKU Pemotong" dataDxfId="1">
      <xmlColumnPr mapId="1" xpath="/Bp21Bulk/ListOfBp21/Bp21/IDPlaceOfBusinessActivity" xmlDataType="string"/>
    </tableColumn>
    <tableColumn id="16" xr3:uid="{00000000-0010-0000-0000-000010000000}" uniqueName="WithholdingDate" name="Tanggal Pemotongan" dataDxfId="0">
      <xmlColumnPr mapId="1" xpath="/Bp21Bulk/ListOfBp21/Bp21/WithholdingDate" xmlDataType="date"/>
    </tableColumn>
  </tableColumns>
  <tableStyleInfo name="TableStyleMedium2" showFirstColumn="0" showLastColumn="0" showRowStripes="1" showColumnStripes="0"/>
</table>
</file>

<file path=xl/tables/tableSingleCells1.xml><?xml version="1.0" encoding="utf-8"?>
<singleXmlCells xmlns="http://schemas.openxmlformats.org/spreadsheetml/2006/main" xmlns:mc="http://schemas.openxmlformats.org/markup-compatibility/2006" xmlns:xr="http://schemas.microsoft.com/office/spreadsheetml/2014/revision" xmlns:xr3="http://schemas.microsoft.com/office/spreadsheetml/2016/revision3" xmlns:xr6="http://schemas.microsoft.com/office/spreadsheetml/2016/revision6" mc:Ignorable="xr xr3 xr6">
  <singleXmlCell id="2" xr6:uid="{00000000-000C-0000-FFFF-FFFF01000000}" r="C1" connectionId="0">
    <xmlCellPr id="1" xr6:uid="{00000000-0010-0000-0100-000001000000}" uniqueName="TIN">
      <xmlPr mapId="1" xpath="/Bp21Bulk/TIN" xmlDataType="string"/>
    </xmlCellPr>
  </singleXmlCell>
</singleXmlCel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tableSingleCells" Target="../tables/tableSingleCell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77"/>
  <sheetViews>
    <sheetView tabSelected="1" workbookViewId="0">
      <selection activeCell="H12" sqref="H12"/>
    </sheetView>
  </sheetViews>
  <sheetFormatPr baseColWidth="10" defaultColWidth="8.83203125" defaultRowHeight="15" x14ac:dyDescent="0.2"/>
  <cols>
    <col min="2" max="3" width="11" customWidth="1"/>
    <col min="4" max="4" width="17.33203125" bestFit="1" customWidth="1"/>
    <col min="5" max="5" width="29.83203125" bestFit="1" customWidth="1"/>
    <col min="6" max="6" width="13.5" bestFit="1" customWidth="1"/>
    <col min="7" max="7" width="11" customWidth="1"/>
    <col min="8" max="8" width="18.83203125" bestFit="1" customWidth="1"/>
    <col min="9" max="9" width="14" bestFit="1" customWidth="1"/>
    <col min="10" max="11" width="11" customWidth="1"/>
    <col min="12" max="12" width="21.5" bestFit="1" customWidth="1"/>
    <col min="13" max="13" width="23.1640625" bestFit="1" customWidth="1"/>
    <col min="14" max="14" width="12" customWidth="1"/>
    <col min="15" max="15" width="23.5" bestFit="1" customWidth="1"/>
    <col min="16" max="16" width="22" bestFit="1" customWidth="1"/>
    <col min="20" max="20" width="10.5" bestFit="1" customWidth="1"/>
    <col min="24" max="24" width="9.1640625" customWidth="1"/>
  </cols>
  <sheetData>
    <row r="1" spans="1:26" x14ac:dyDescent="0.2">
      <c r="A1" s="13" t="s">
        <v>59</v>
      </c>
      <c r="B1" s="13"/>
      <c r="C1" s="14" t="s">
        <v>340</v>
      </c>
    </row>
    <row r="3" spans="1:26" x14ac:dyDescent="0.2">
      <c r="B3" t="s">
        <v>60</v>
      </c>
      <c r="C3" t="s">
        <v>61</v>
      </c>
      <c r="D3" t="s">
        <v>62</v>
      </c>
      <c r="E3" t="s">
        <v>63</v>
      </c>
      <c r="F3" t="s">
        <v>74</v>
      </c>
      <c r="G3" t="s">
        <v>64</v>
      </c>
      <c r="H3" t="s">
        <v>41</v>
      </c>
      <c r="I3" t="s">
        <v>72</v>
      </c>
      <c r="J3" t="s">
        <v>73</v>
      </c>
      <c r="K3" t="s">
        <v>65</v>
      </c>
      <c r="L3" t="s">
        <v>66</v>
      </c>
      <c r="M3" t="s">
        <v>67</v>
      </c>
      <c r="N3" t="s">
        <v>68</v>
      </c>
      <c r="O3" t="s">
        <v>69</v>
      </c>
      <c r="P3" t="s">
        <v>70</v>
      </c>
      <c r="R3" t="s">
        <v>189</v>
      </c>
      <c r="S3" t="s">
        <v>190</v>
      </c>
      <c r="T3" t="s">
        <v>158</v>
      </c>
      <c r="U3" t="s">
        <v>159</v>
      </c>
      <c r="V3" t="s">
        <v>160</v>
      </c>
      <c r="W3" t="s">
        <v>161</v>
      </c>
      <c r="X3" t="s">
        <v>186</v>
      </c>
      <c r="Y3" t="s">
        <v>187</v>
      </c>
      <c r="Z3" t="s">
        <v>188</v>
      </c>
    </row>
    <row r="4" spans="1:26" x14ac:dyDescent="0.2">
      <c r="B4" s="1">
        <v>5</v>
      </c>
      <c r="C4">
        <v>2026</v>
      </c>
      <c r="D4" s="2" t="s">
        <v>191</v>
      </c>
      <c r="E4" s="2" t="s">
        <v>265</v>
      </c>
      <c r="F4" s="2" t="s">
        <v>79</v>
      </c>
      <c r="G4" s="3" t="s">
        <v>45</v>
      </c>
      <c r="H4" s="3" t="s">
        <v>0</v>
      </c>
      <c r="I4">
        <v>1375000</v>
      </c>
      <c r="J4">
        <f>VLOOKUP(H4,REF!$A$2:$D$33,3,0)</f>
        <v>100</v>
      </c>
      <c r="K4">
        <f>IF(S4="TER",IF(OR(F4="TK/0",F4="TK/1",F4="K/0",F4="HB/0",F4="HB/1"),T4,IF(OR(F4="TK/2",F4="TK/3",F4="K/1",F4="K/2",F4="HB/2",F4="HB/3"),U4,V4)),IF(S4="PS17",W4,IF(S4="HARIAN",X4,IF(S4="PESANGON",Y4,IF(S4="PENSIUN",Z4,S4)))))</f>
        <v>0</v>
      </c>
      <c r="L4" s="3" t="s">
        <v>146</v>
      </c>
      <c r="M4" s="3" t="s">
        <v>339</v>
      </c>
      <c r="N4" s="4">
        <v>46173</v>
      </c>
      <c r="O4" s="2" t="s">
        <v>341</v>
      </c>
      <c r="P4" s="4">
        <v>46173</v>
      </c>
      <c r="R4">
        <f>Table1[[#This Row],[Penghasilan]]*Table1[[#This Row],[Deemed]]/100</f>
        <v>1375000</v>
      </c>
      <c r="S4" t="str">
        <f>VLOOKUP(H4,REF!$A$2:$D$43,4,0)</f>
        <v>TER</v>
      </c>
      <c r="T4" s="12">
        <f>IF(R4&lt;=5400000,0,IF(AND(R4&gt;5400000,R4&lt;=5650000),0.25,IF(AND(R4&gt;5650000,R4&lt;=5950000),0.5,IF(AND(R4&gt;5950000,R4&lt;=6300000),0.75,IF(AND(R4&gt;6300000,R4&lt;=6750000),1,IF(AND(R4&gt;6750000,R4&lt;=7500000),1.25,IF(AND(R4&gt;7500000,R4&lt;=8550000),1.5,IF(AND(R4&gt;8550000,R4&lt;=9650000),1.75,IF(AND(R4&gt;9650000,R4&lt;=10050000),2,IF(AND(R4&gt;10050000,R4&lt;=10350000),2.25,IF(AND(R4&gt;10350000,R4&lt;=10700000),2.5,IF(AND(R4&gt;10700000,R4&lt;=11050000),3,IF(AND(R4&gt;11050000,R4&lt;=11600000),3.5,IF(AND(R4&gt;11600000,R4&lt;=12500000),4,IF(AND(R4&gt;12500000,R4&lt;=13750000),5,IF(AND(R4&gt;13750000,R4&lt;=15100000),6,IF(AND(R4&gt;15100000,R4&lt;=16950000),7,IF(AND(R4&gt;16950000,R4&lt;=19750000),8,IF(AND(R4&gt;19750000,R4&lt;=24150000),9,IF(AND(R4&gt;24150000,R4&lt;=26450000),10,IF(AND(R4&gt;26450000,R4&lt;=28000000),11,IF(AND(R4&gt;28000000,R4&lt;=30050000),12,IF(AND(R4&gt;30050000,R4&lt;=32400000),13,IF(AND(R4&gt;32400000,R4&lt;=35400000),14,IF(AND(R4&gt;35400000,R4&lt;=39100000),15,IF(AND(R4&gt;39100000,R4&lt;=43850000),16,IF(AND(R4&gt;43850000,R4&lt;=47800000),17,IF(AND(R4&gt;47800000,R4&lt;=51400000),18,IF(AND(R4&gt;51400000,R4&lt;=56300000),19,IF(AND(R4&gt;56300000,R4&lt;=62200000),20,IF(AND(R4&gt;62200000,R4&lt;=68600000),21,IF(AND(R4&gt;68600000,R4&lt;=77500000),22,IF(AND(R4&gt;77500000,R4&lt;=89000000),23,IF(AND(R4&gt;89000000,R4&lt;=103000000),24,IF(AND(R4&gt;103000000,R4&lt;=125000000),25,IF(AND(R4&gt;125000000,R4&lt;=157000000),26,IF(AND(R4&gt;157000000,R4&lt;=206000000),27,IF(AND(R4&gt;206000000,R4&lt;=337000000),28,IF(AND(R4&gt;337000000,R4&lt;=454000000),29,IF(AND(R4&gt;454000000,R4&lt;=550000000),30,IF(AND(R4&gt;550000000,R4&lt;=695000000),31,IF(AND(R4&gt;695000000,R4&lt;=910000000),32,IF(AND(R4&gt;910000000,R4&lt;=1400000000),33,34)))))))))))))))))))))))))))))))))))))))))))</f>
        <v>0</v>
      </c>
      <c r="U4">
        <f>IF(R4&lt;=6200000,0,IF(AND(R4&gt;6200000,R4&lt;=6500000),0.25,IF(AND(R4&gt;6500000,R4&lt;=6850000),0.5,IF(AND(R4&gt;6850000,R4&lt;=7300000),0.75,IF(AND(R4&gt;7300000,R4&lt;=9200000),1,IF(AND(R4&gt;9200000,R4&lt;=10750000),1.5,IF(AND(R4&gt;10750000,R4&lt;=11250000),2,IF(AND(R4&gt;11250000,R4&lt;=11600000),2.5,IF(AND(R4&gt;11600000,R4&lt;=12600000),3,IF(AND(R4&gt;12600000,R4&lt;=13600000),4,IF(AND(R4&gt;13600000,R4&lt;=14950000),5,IF(AND(R4&gt;14950000,R4&lt;=16400000),6,IF(AND(R4&gt;16400000,R4&lt;=18450000),7,IF(AND(R4&gt;18450000,R4&lt;=21850000),8,IF(AND(R4&gt;21850000,R4&lt;=26000000),9,IF(AND(R4&gt;26000000,R4&lt;=27700000),10,IF(AND(R4&gt;27700000,R4&lt;=29350000),11,IF(AND(R4&gt;29350000,R4&lt;=31450000),12,IF(AND(R4&gt;31450000,R4&lt;=33950000),13,IF(AND(R4&gt;33950000,R4&lt;=37100000),14,IF(AND(R4&gt;37100000,R4&lt;=41100000),15,IF(AND(R4&gt;41100000,R4&lt;=45800000),16,IF(AND(R4&gt;45800000,R4&lt;=49500000),17,IF(AND(R4&gt;49500000,R4&lt;=53800000),18,IF(AND(R4&gt;53800000,R4&lt;=58500000),19,IF(AND(R4&gt;58500000,R4&lt;=64000000),20,IF(AND(R4&gt;64000000,R4&lt;=71000000),21,IF(AND(R4&gt;71000000,R4&lt;=80000000),22,IF(AND(R4&gt;80000000,R4&lt;=93000000),23,IF(AND(R4&gt;93000000,R4&lt;=109000000),24,IF(AND(R4&gt;109000000,R4&lt;=129000000),25,IF(AND(R4&gt;129000000,R4&lt;=163000000),26,IF(AND(R4&gt;163000000,R4&lt;=211000000),27,IF(AND(R4&gt;211000000,R4&lt;=374000000),28,IF(AND(R4&gt;374000000,R4&lt;=459000000),29,IF(AND(R4&gt;459000000,R4&lt;=555000000),30,IF(AND(R4&gt;555000000,R4&lt;=704000000),31,IF(AND(R4&gt;704000000,R4&lt;=957000000),32,IF(AND(R4&gt;957000000,R4&lt;=1405000000),33,34)))))))))))))))))))))))))))))))))))))))</f>
        <v>0</v>
      </c>
      <c r="V4">
        <f>IF(R4&lt;=6600000,0,IF(AND(R4&gt;6600000,R4&lt;=6950000),0.25,IF(AND(R4&gt;6950000,R4&lt;=7350000),0.5,IF(AND(R4&gt;7350000,R4&lt;=7800000),0.75,IF(AND(R4&gt;7800000,R4&lt;=8850000),1,IF(AND(R4&gt;8850000,R4&lt;=9800000),1.25,IF(AND(R4&gt;9800000,R4&lt;=10950000),1.5,IF(AND(R4&gt;10950000,R4&lt;=11200000),1.75,IF(AND(R4&gt;11200000,R4&lt;=12050000),2,IF(AND(R4&gt;12050000,R4&lt;=12950000),3,IF(AND(R4&gt;12950000,R4&lt;=14150000),4,IF(AND(R4&gt;14150000,R4&lt;=15550000),5,IF(AND(R4&gt;15550000,R4&lt;=17050000),6,IF(AND(R4&gt;17050000,R4&lt;=19500000),7,IF(AND(R4&gt;19500000,R4&lt;=22700000),8,IF(AND(R4&gt;22700000,R4&lt;=26600000),9,IF(AND(R4&gt;26600000,R4&lt;=28100000),10,IF(AND(R4&gt;28100000,R4&lt;=30100000),11,IF(AND(R4&gt;30100000,R4&lt;=32600000),12,IF(AND(R4&gt;32600000,R4&lt;=35400000),13,IF(AND(R4&gt;35400000,R4&lt;=38900000),14,IF(AND(R4&gt;38900000,R4&lt;=43000000),15,IF(AND(R4&gt;43000000,R4&lt;=47400000),16,IF(AND(R4&gt;47400000,R4&lt;=51200000),17,IF(AND(R4&gt;51200000,R4&lt;=55800000),18,IF(AND(R4&gt;55800000,R4&lt;=60400000),19,IF(AND(R4&gt;60400000,R4&lt;=66700000),20,IF(AND(R4&gt;66700000,R4&lt;=74500000),21,IF(AND(R4&gt;74500000,R4&lt;=83200000),22,IF(AND(R4&gt;83200000,R4&lt;=95600000),23,IF(AND(R4&gt;95600000,R4&lt;=110000000),24,IF(AND(R4&gt;110000000,R4&lt;=134000000),25,IF(AND(R4&gt;134000000,R4&lt;=169000000),26,IF(AND(R4&gt;169000000,R4&lt;=221000000),27,IF(AND(R4&gt;221000000,R4&lt;=390000000),28,IF(AND(R4&gt;390000000,R4&lt;=463000000),29,IF(AND(R4&gt;463000000,R4&lt;=561000000),30,IF(AND(R4&gt;561000000,R4&lt;=709000000),31,IF(AND(R4&gt;709000000,R4&lt;=965000000),32,IF(AND(R4&gt;965000000,R4&lt;=1419000000),33,34))))))))))))))))))))))))))))))))))))))))</f>
        <v>0</v>
      </c>
      <c r="W4">
        <f>IF(R4&lt;=60000000,5,IF(AND(R4&gt;60000000,R4&lt;=250000000),15,IF(AND(R4&gt;250000000,R4&lt;=500000000),25,IF(AND(R4&gt;500000000,R4&lt;=5000000000),30,35))))</f>
        <v>5</v>
      </c>
      <c r="X4">
        <f>IF(R4&lt;=450000,0,IF(AND(R4&gt;450000,R4&lt;=2500000),0.5,0))</f>
        <v>0.5</v>
      </c>
      <c r="Y4">
        <f>IF(R4&lt;=50000000,0,IF(AND(R4&gt;50000000,R4&lt;=100000000),5,IF(AND(R4&gt;100000000,R4&lt;=500000000),15,25)))</f>
        <v>0</v>
      </c>
      <c r="Z4">
        <f>IF(R4&lt;=50000000,0,5)</f>
        <v>0</v>
      </c>
    </row>
    <row r="5" spans="1:26" x14ac:dyDescent="0.2">
      <c r="B5" s="1">
        <v>5</v>
      </c>
      <c r="C5">
        <v>2026</v>
      </c>
      <c r="D5" s="2" t="s">
        <v>192</v>
      </c>
      <c r="E5" s="2" t="s">
        <v>266</v>
      </c>
      <c r="F5" s="2" t="s">
        <v>75</v>
      </c>
      <c r="G5" s="3" t="s">
        <v>45</v>
      </c>
      <c r="H5" s="3" t="s">
        <v>0</v>
      </c>
      <c r="I5">
        <v>6264837.7999999998</v>
      </c>
      <c r="J5">
        <f>VLOOKUP(H5,REF!$A$2:$D$33,3,0)</f>
        <v>100</v>
      </c>
      <c r="K5">
        <f t="shared" ref="K5:K68" si="0">IF(S5="TER",IF(OR(F5="TK/0",F5="TK/1",F5="K/0",F5="HB/0",F5="HB/1"),T5,IF(OR(F5="TK/2",F5="TK/3",F5="K/1",F5="K/2",F5="HB/2",F5="HB/3"),U5,V5)),IF(S5="PS17",W5,IF(S5="HARIAN",X5,IF(S5="PESANGON",Y5,IF(S5="PENSIUN",Z5,S5)))))</f>
        <v>0.75</v>
      </c>
      <c r="L5" s="3" t="s">
        <v>146</v>
      </c>
      <c r="M5" s="3" t="s">
        <v>339</v>
      </c>
      <c r="N5" s="4">
        <v>46173</v>
      </c>
      <c r="O5" s="2" t="s">
        <v>341</v>
      </c>
      <c r="P5" s="4">
        <v>46173</v>
      </c>
      <c r="R5">
        <f>Table1[[#This Row],[Penghasilan]]*Table1[[#This Row],[Deemed]]/100</f>
        <v>6264837.7999999998</v>
      </c>
      <c r="S5" t="str">
        <f>VLOOKUP(H5,REF!$A$2:$D$43,4,0)</f>
        <v>TER</v>
      </c>
      <c r="T5" s="12">
        <f t="shared" ref="T5:T68" si="1">IF(R5&lt;=5400000,0,IF(AND(R5&gt;5400000,R5&lt;=5650000),0.25,IF(AND(R5&gt;5650000,R5&lt;=5950000),0.5,IF(AND(R5&gt;5950000,R5&lt;=6300000),0.75,IF(AND(R5&gt;6300000,R5&lt;=6750000),1,IF(AND(R5&gt;6750000,R5&lt;=7500000),1.25,IF(AND(R5&gt;7500000,R5&lt;=8550000),1.5,IF(AND(R5&gt;8550000,R5&lt;=9650000),1.75,IF(AND(R5&gt;9650000,R5&lt;=10050000),2,IF(AND(R5&gt;10050000,R5&lt;=10350000),2.25,IF(AND(R5&gt;10350000,R5&lt;=10700000),2.5,IF(AND(R5&gt;10700000,R5&lt;=11050000),3,IF(AND(R5&gt;11050000,R5&lt;=11600000),3.5,IF(AND(R5&gt;11600000,R5&lt;=12500000),4,IF(AND(R5&gt;12500000,R5&lt;=13750000),5,IF(AND(R5&gt;13750000,R5&lt;=15100000),6,IF(AND(R5&gt;15100000,R5&lt;=16950000),7,IF(AND(R5&gt;16950000,R5&lt;=19750000),8,IF(AND(R5&gt;19750000,R5&lt;=24150000),9,IF(AND(R5&gt;24150000,R5&lt;=26450000),10,IF(AND(R5&gt;26450000,R5&lt;=28000000),11,IF(AND(R5&gt;28000000,R5&lt;=30050000),12,IF(AND(R5&gt;30050000,R5&lt;=32400000),13,IF(AND(R5&gt;32400000,R5&lt;=35400000),14,IF(AND(R5&gt;35400000,R5&lt;=39100000),15,IF(AND(R5&gt;39100000,R5&lt;=43850000),16,IF(AND(R5&gt;43850000,R5&lt;=47800000),17,IF(AND(R5&gt;47800000,R5&lt;=51400000),18,IF(AND(R5&gt;51400000,R5&lt;=56300000),19,IF(AND(R5&gt;56300000,R5&lt;=62200000),20,IF(AND(R5&gt;62200000,R5&lt;=68600000),21,IF(AND(R5&gt;68600000,R5&lt;=77500000),22,IF(AND(R5&gt;77500000,R5&lt;=89000000),23,IF(AND(R5&gt;89000000,R5&lt;=103000000),24,IF(AND(R5&gt;103000000,R5&lt;=125000000),25,IF(AND(R5&gt;125000000,R5&lt;=157000000),26,IF(AND(R5&gt;157000000,R5&lt;=206000000),27,IF(AND(R5&gt;206000000,R5&lt;=337000000),28,IF(AND(R5&gt;337000000,R5&lt;=454000000),29,IF(AND(R5&gt;454000000,R5&lt;=550000000),30,IF(AND(R5&gt;550000000,R5&lt;=695000000),31,IF(AND(R5&gt;695000000,R5&lt;=910000000),32,IF(AND(R5&gt;910000000,R5&lt;=1400000000),33,34)))))))))))))))))))))))))))))))))))))))))))</f>
        <v>0.75</v>
      </c>
      <c r="U5">
        <f t="shared" ref="U5:U68" si="2">IF(R5&lt;=6200000,0,IF(AND(R5&gt;6200000,R5&lt;=6500000),0.25,IF(AND(R5&gt;6500000,R5&lt;=6850000),0.5,IF(AND(R5&gt;6850000,R5&lt;=7300000),0.75,IF(AND(R5&gt;7300000,R5&lt;=9200000),1,IF(AND(R5&gt;9200000,R5&lt;=10750000),1.5,IF(AND(R5&gt;10750000,R5&lt;=11250000),2,IF(AND(R5&gt;11250000,R5&lt;=11600000),2.5,IF(AND(R5&gt;11600000,R5&lt;=12600000),3,IF(AND(R5&gt;12600000,R5&lt;=13600000),4,IF(AND(R5&gt;13600000,R5&lt;=14950000),5,IF(AND(R5&gt;14950000,R5&lt;=16400000),6,IF(AND(R5&gt;16400000,R5&lt;=18450000),7,IF(AND(R5&gt;18450000,R5&lt;=21850000),8,IF(AND(R5&gt;21850000,R5&lt;=26000000),9,IF(AND(R5&gt;26000000,R5&lt;=27700000),10,IF(AND(R5&gt;27700000,R5&lt;=29350000),11,IF(AND(R5&gt;29350000,R5&lt;=31450000),12,IF(AND(R5&gt;31450000,R5&lt;=33950000),13,IF(AND(R5&gt;33950000,R5&lt;=37100000),14,IF(AND(R5&gt;37100000,R5&lt;=41100000),15,IF(AND(R5&gt;41100000,R5&lt;=45800000),16,IF(AND(R5&gt;45800000,R5&lt;=49500000),17,IF(AND(R5&gt;49500000,R5&lt;=53800000),18,IF(AND(R5&gt;53800000,R5&lt;=58500000),19,IF(AND(R5&gt;58500000,R5&lt;=64000000),20,IF(AND(R5&gt;64000000,R5&lt;=71000000),21,IF(AND(R5&gt;71000000,R5&lt;=80000000),22,IF(AND(R5&gt;80000000,R5&lt;=93000000),23,IF(AND(R5&gt;93000000,R5&lt;=109000000),24,IF(AND(R5&gt;109000000,R5&lt;=129000000),25,IF(AND(R5&gt;129000000,R5&lt;=163000000),26,IF(AND(R5&gt;163000000,R5&lt;=211000000),27,IF(AND(R5&gt;211000000,R5&lt;=374000000),28,IF(AND(R5&gt;374000000,R5&lt;=459000000),29,IF(AND(R5&gt;459000000,R5&lt;=555000000),30,IF(AND(R5&gt;555000000,R5&lt;=704000000),31,IF(AND(R5&gt;704000000,R5&lt;=957000000),32,IF(AND(R5&gt;957000000,R5&lt;=1405000000),33,34)))))))))))))))))))))))))))))))))))))))</f>
        <v>0.25</v>
      </c>
      <c r="V5">
        <f t="shared" ref="V5:V68" si="3">IF(R5&lt;=6600000,0,IF(AND(R5&gt;6600000,R5&lt;=6950000),0.25,IF(AND(R5&gt;6950000,R5&lt;=7350000),0.5,IF(AND(R5&gt;7350000,R5&lt;=7800000),0.75,IF(AND(R5&gt;7800000,R5&lt;=8850000),1,IF(AND(R5&gt;8850000,R5&lt;=9800000),1.25,IF(AND(R5&gt;9800000,R5&lt;=10950000),1.5,IF(AND(R5&gt;10950000,R5&lt;=11200000),1.75,IF(AND(R5&gt;11200000,R5&lt;=12050000),2,IF(AND(R5&gt;12050000,R5&lt;=12950000),3,IF(AND(R5&gt;12950000,R5&lt;=14150000),4,IF(AND(R5&gt;14150000,R5&lt;=15550000),5,IF(AND(R5&gt;15550000,R5&lt;=17050000),6,IF(AND(R5&gt;17050000,R5&lt;=19500000),7,IF(AND(R5&gt;19500000,R5&lt;=22700000),8,IF(AND(R5&gt;22700000,R5&lt;=26600000),9,IF(AND(R5&gt;26600000,R5&lt;=28100000),10,IF(AND(R5&gt;28100000,R5&lt;=30100000),11,IF(AND(R5&gt;30100000,R5&lt;=32600000),12,IF(AND(R5&gt;32600000,R5&lt;=35400000),13,IF(AND(R5&gt;35400000,R5&lt;=38900000),14,IF(AND(R5&gt;38900000,R5&lt;=43000000),15,IF(AND(R5&gt;43000000,R5&lt;=47400000),16,IF(AND(R5&gt;47400000,R5&lt;=51200000),17,IF(AND(R5&gt;51200000,R5&lt;=55800000),18,IF(AND(R5&gt;55800000,R5&lt;=60400000),19,IF(AND(R5&gt;60400000,R5&lt;=66700000),20,IF(AND(R5&gt;66700000,R5&lt;=74500000),21,IF(AND(R5&gt;74500000,R5&lt;=83200000),22,IF(AND(R5&gt;83200000,R5&lt;=95600000),23,IF(AND(R5&gt;95600000,R5&lt;=110000000),24,IF(AND(R5&gt;110000000,R5&lt;=134000000),25,IF(AND(R5&gt;134000000,R5&lt;=169000000),26,IF(AND(R5&gt;169000000,R5&lt;=221000000),27,IF(AND(R5&gt;221000000,R5&lt;=390000000),28,IF(AND(R5&gt;390000000,R5&lt;=463000000),29,IF(AND(R5&gt;463000000,R5&lt;=561000000),30,IF(AND(R5&gt;561000000,R5&lt;=709000000),31,IF(AND(R5&gt;709000000,R5&lt;=965000000),32,IF(AND(R5&gt;965000000,R5&lt;=1419000000),33,34))))))))))))))))))))))))))))))))))))))))</f>
        <v>0</v>
      </c>
      <c r="W5">
        <f t="shared" ref="W5:W68" si="4">IF(R5&lt;=60000000,5,IF(AND(R5&gt;60000000,R5&lt;=250000000),15,IF(AND(R5&gt;250000000,R5&lt;=500000000),25,IF(AND(R5&gt;500000000,R5&lt;=5000000000),30,35))))</f>
        <v>5</v>
      </c>
      <c r="X5">
        <f t="shared" ref="X5:X68" si="5">IF(R5&lt;=450000,0,IF(AND(R5&gt;450000,R5&lt;=2500000),0.5,0))</f>
        <v>0</v>
      </c>
      <c r="Y5">
        <f t="shared" ref="Y5:Y68" si="6">IF(R5&lt;=50000000,0,IF(AND(R5&gt;50000000,R5&lt;=100000000),5,IF(AND(R5&gt;100000000,R5&lt;=500000000),15,25)))</f>
        <v>0</v>
      </c>
      <c r="Z5">
        <f t="shared" ref="Z5:Z68" si="7">IF(R5&lt;=50000000,0,5)</f>
        <v>0</v>
      </c>
    </row>
    <row r="6" spans="1:26" x14ac:dyDescent="0.2">
      <c r="B6" s="1">
        <v>5</v>
      </c>
      <c r="C6">
        <v>2026</v>
      </c>
      <c r="D6" s="2" t="s">
        <v>193</v>
      </c>
      <c r="E6" s="2" t="s">
        <v>267</v>
      </c>
      <c r="F6" s="2" t="s">
        <v>75</v>
      </c>
      <c r="G6" s="3" t="s">
        <v>45</v>
      </c>
      <c r="H6" s="3" t="s">
        <v>0</v>
      </c>
      <c r="I6">
        <v>2751922.16</v>
      </c>
      <c r="J6">
        <f>VLOOKUP(H6,REF!$A$2:$D$33,3,0)</f>
        <v>100</v>
      </c>
      <c r="K6">
        <f t="shared" si="0"/>
        <v>0</v>
      </c>
      <c r="L6" s="3" t="s">
        <v>146</v>
      </c>
      <c r="M6" s="3" t="s">
        <v>339</v>
      </c>
      <c r="N6" s="4">
        <v>46173</v>
      </c>
      <c r="O6" s="2" t="s">
        <v>341</v>
      </c>
      <c r="P6" s="4">
        <v>46173</v>
      </c>
      <c r="R6">
        <f>Table1[[#This Row],[Penghasilan]]*Table1[[#This Row],[Deemed]]/100</f>
        <v>2751922.16</v>
      </c>
      <c r="S6" t="str">
        <f>VLOOKUP(H6,REF!$A$2:$D$43,4,0)</f>
        <v>TER</v>
      </c>
      <c r="T6" s="12">
        <f t="shared" si="1"/>
        <v>0</v>
      </c>
      <c r="U6">
        <f t="shared" si="2"/>
        <v>0</v>
      </c>
      <c r="V6">
        <f t="shared" si="3"/>
        <v>0</v>
      </c>
      <c r="W6">
        <f t="shared" si="4"/>
        <v>5</v>
      </c>
      <c r="X6">
        <f t="shared" si="5"/>
        <v>0</v>
      </c>
      <c r="Y6">
        <f t="shared" si="6"/>
        <v>0</v>
      </c>
      <c r="Z6">
        <f t="shared" si="7"/>
        <v>0</v>
      </c>
    </row>
    <row r="7" spans="1:26" x14ac:dyDescent="0.2">
      <c r="B7" s="1">
        <v>5</v>
      </c>
      <c r="C7">
        <v>2026</v>
      </c>
      <c r="D7" s="2" t="s">
        <v>194</v>
      </c>
      <c r="E7" s="2" t="s">
        <v>268</v>
      </c>
      <c r="F7" s="2" t="s">
        <v>75</v>
      </c>
      <c r="G7" s="3" t="s">
        <v>45</v>
      </c>
      <c r="H7" s="3" t="s">
        <v>0</v>
      </c>
      <c r="I7">
        <v>6264837.7999999998</v>
      </c>
      <c r="J7">
        <f>VLOOKUP(H7,REF!$A$2:$D$33,3,0)</f>
        <v>100</v>
      </c>
      <c r="K7">
        <f t="shared" si="0"/>
        <v>0.75</v>
      </c>
      <c r="L7" s="3" t="s">
        <v>146</v>
      </c>
      <c r="M7" s="3" t="s">
        <v>339</v>
      </c>
      <c r="N7" s="4">
        <v>46173</v>
      </c>
      <c r="O7" s="2" t="s">
        <v>341</v>
      </c>
      <c r="P7" s="4">
        <v>46173</v>
      </c>
      <c r="R7">
        <f>Table1[[#This Row],[Penghasilan]]*Table1[[#This Row],[Deemed]]/100</f>
        <v>6264837.7999999998</v>
      </c>
      <c r="S7" t="str">
        <f>VLOOKUP(H7,REF!$A$2:$D$43,4,0)</f>
        <v>TER</v>
      </c>
      <c r="T7" s="12">
        <f t="shared" si="1"/>
        <v>0.75</v>
      </c>
      <c r="U7">
        <f t="shared" si="2"/>
        <v>0.25</v>
      </c>
      <c r="V7">
        <f t="shared" si="3"/>
        <v>0</v>
      </c>
      <c r="W7">
        <f t="shared" si="4"/>
        <v>5</v>
      </c>
      <c r="X7">
        <f t="shared" si="5"/>
        <v>0</v>
      </c>
      <c r="Y7">
        <f t="shared" si="6"/>
        <v>0</v>
      </c>
      <c r="Z7">
        <f t="shared" si="7"/>
        <v>0</v>
      </c>
    </row>
    <row r="8" spans="1:26" x14ac:dyDescent="0.2">
      <c r="B8" s="1">
        <v>5</v>
      </c>
      <c r="C8">
        <v>2026</v>
      </c>
      <c r="D8" s="2" t="s">
        <v>195</v>
      </c>
      <c r="E8" s="2" t="s">
        <v>269</v>
      </c>
      <c r="F8" s="2" t="s">
        <v>75</v>
      </c>
      <c r="G8" s="3" t="s">
        <v>45</v>
      </c>
      <c r="H8" s="3" t="s">
        <v>0</v>
      </c>
      <c r="I8">
        <v>6035754.5599999996</v>
      </c>
      <c r="J8">
        <f>VLOOKUP(H8,REF!$A$2:$D$33,3,0)</f>
        <v>100</v>
      </c>
      <c r="K8">
        <f t="shared" si="0"/>
        <v>0.75</v>
      </c>
      <c r="L8" s="3" t="s">
        <v>146</v>
      </c>
      <c r="M8" s="3" t="s">
        <v>339</v>
      </c>
      <c r="N8" s="4">
        <v>46173</v>
      </c>
      <c r="O8" s="2" t="s">
        <v>341</v>
      </c>
      <c r="P8" s="4">
        <v>46173</v>
      </c>
      <c r="R8">
        <f>Table1[[#This Row],[Penghasilan]]*Table1[[#This Row],[Deemed]]/100</f>
        <v>6035754.5599999996</v>
      </c>
      <c r="S8" t="str">
        <f>VLOOKUP(H8,REF!$A$2:$D$43,4,0)</f>
        <v>TER</v>
      </c>
      <c r="T8" s="12">
        <f t="shared" si="1"/>
        <v>0.75</v>
      </c>
      <c r="U8">
        <f t="shared" si="2"/>
        <v>0</v>
      </c>
      <c r="V8">
        <f t="shared" si="3"/>
        <v>0</v>
      </c>
      <c r="W8">
        <f t="shared" si="4"/>
        <v>5</v>
      </c>
      <c r="X8">
        <f t="shared" si="5"/>
        <v>0</v>
      </c>
      <c r="Y8">
        <f t="shared" si="6"/>
        <v>0</v>
      </c>
      <c r="Z8">
        <f t="shared" si="7"/>
        <v>0</v>
      </c>
    </row>
    <row r="9" spans="1:26" x14ac:dyDescent="0.2">
      <c r="B9" s="1">
        <v>5</v>
      </c>
      <c r="C9">
        <v>2026</v>
      </c>
      <c r="D9" s="2" t="s">
        <v>196</v>
      </c>
      <c r="E9" s="2" t="s">
        <v>270</v>
      </c>
      <c r="F9" s="2" t="s">
        <v>75</v>
      </c>
      <c r="G9" s="3" t="s">
        <v>45</v>
      </c>
      <c r="H9" s="3" t="s">
        <v>0</v>
      </c>
      <c r="I9">
        <v>6298837.7999999998</v>
      </c>
      <c r="J9">
        <f>VLOOKUP(H9,REF!$A$2:$D$33,3,0)</f>
        <v>100</v>
      </c>
      <c r="K9">
        <f t="shared" si="0"/>
        <v>0.75</v>
      </c>
      <c r="L9" s="3" t="s">
        <v>146</v>
      </c>
      <c r="M9" s="3" t="s">
        <v>339</v>
      </c>
      <c r="N9" s="4">
        <v>46173</v>
      </c>
      <c r="O9" s="2" t="s">
        <v>341</v>
      </c>
      <c r="P9" s="4">
        <v>46173</v>
      </c>
      <c r="R9">
        <f>Table1[[#This Row],[Penghasilan]]*Table1[[#This Row],[Deemed]]/100</f>
        <v>6298837.7999999998</v>
      </c>
      <c r="S9" t="str">
        <f>VLOOKUP(H9,REF!$A$2:$D$43,4,0)</f>
        <v>TER</v>
      </c>
      <c r="T9" s="12">
        <f t="shared" si="1"/>
        <v>0.75</v>
      </c>
      <c r="U9">
        <f t="shared" si="2"/>
        <v>0.25</v>
      </c>
      <c r="V9">
        <f t="shared" si="3"/>
        <v>0</v>
      </c>
      <c r="W9">
        <f t="shared" si="4"/>
        <v>5</v>
      </c>
      <c r="X9">
        <f t="shared" si="5"/>
        <v>0</v>
      </c>
      <c r="Y9">
        <f t="shared" si="6"/>
        <v>0</v>
      </c>
      <c r="Z9">
        <f t="shared" si="7"/>
        <v>0</v>
      </c>
    </row>
    <row r="10" spans="1:26" x14ac:dyDescent="0.2">
      <c r="B10" s="1">
        <v>5</v>
      </c>
      <c r="C10">
        <v>2026</v>
      </c>
      <c r="D10" s="3" t="s">
        <v>197</v>
      </c>
      <c r="E10" s="3" t="s">
        <v>271</v>
      </c>
      <c r="F10" s="3" t="s">
        <v>75</v>
      </c>
      <c r="G10" s="3" t="s">
        <v>45</v>
      </c>
      <c r="H10" s="3" t="s">
        <v>0</v>
      </c>
      <c r="I10">
        <v>1479422.72</v>
      </c>
      <c r="J10">
        <f>VLOOKUP(H10,REF!$A$2:$D$33,3,0)</f>
        <v>100</v>
      </c>
      <c r="K10">
        <f t="shared" si="0"/>
        <v>0</v>
      </c>
      <c r="L10" s="3" t="s">
        <v>146</v>
      </c>
      <c r="M10" s="3" t="s">
        <v>339</v>
      </c>
      <c r="N10" s="4">
        <v>46173</v>
      </c>
      <c r="O10" s="2" t="s">
        <v>341</v>
      </c>
      <c r="P10" s="4">
        <v>46173</v>
      </c>
      <c r="R10">
        <f>Table1[[#This Row],[Penghasilan]]*Table1[[#This Row],[Deemed]]/100</f>
        <v>1479422.72</v>
      </c>
      <c r="S10" t="str">
        <f>VLOOKUP(H10,REF!$A$2:$D$43,4,0)</f>
        <v>TER</v>
      </c>
      <c r="T10" s="12">
        <f t="shared" si="1"/>
        <v>0</v>
      </c>
      <c r="U10">
        <f t="shared" si="2"/>
        <v>0</v>
      </c>
      <c r="V10">
        <f t="shared" si="3"/>
        <v>0</v>
      </c>
      <c r="W10">
        <f t="shared" si="4"/>
        <v>5</v>
      </c>
      <c r="X10">
        <f t="shared" si="5"/>
        <v>0.5</v>
      </c>
      <c r="Y10">
        <f t="shared" si="6"/>
        <v>0</v>
      </c>
      <c r="Z10">
        <f t="shared" si="7"/>
        <v>0</v>
      </c>
    </row>
    <row r="11" spans="1:26" x14ac:dyDescent="0.2">
      <c r="B11" s="1">
        <v>5</v>
      </c>
      <c r="C11">
        <v>2026</v>
      </c>
      <c r="D11" s="3" t="s">
        <v>198</v>
      </c>
      <c r="E11" s="3" t="s">
        <v>272</v>
      </c>
      <c r="F11" s="3" t="s">
        <v>75</v>
      </c>
      <c r="G11" s="3" t="s">
        <v>45</v>
      </c>
      <c r="H11" s="3" t="s">
        <v>0</v>
      </c>
      <c r="I11">
        <v>6009837.7999999998</v>
      </c>
      <c r="J11">
        <f>VLOOKUP(H11,REF!$A$2:$D$33,3,0)</f>
        <v>100</v>
      </c>
      <c r="K11">
        <f t="shared" si="0"/>
        <v>0.75</v>
      </c>
      <c r="L11" s="3" t="s">
        <v>146</v>
      </c>
      <c r="M11" s="3" t="s">
        <v>339</v>
      </c>
      <c r="N11" s="4">
        <v>46173</v>
      </c>
      <c r="O11" s="2" t="s">
        <v>341</v>
      </c>
      <c r="P11" s="4">
        <v>46173</v>
      </c>
      <c r="R11">
        <f>Table1[[#This Row],[Penghasilan]]*Table1[[#This Row],[Deemed]]/100</f>
        <v>6009837.7999999998</v>
      </c>
      <c r="S11" t="str">
        <f>VLOOKUP(H11,REF!$A$2:$D$43,4,0)</f>
        <v>TER</v>
      </c>
      <c r="T11" s="12">
        <f t="shared" si="1"/>
        <v>0.75</v>
      </c>
      <c r="U11">
        <f t="shared" si="2"/>
        <v>0</v>
      </c>
      <c r="V11">
        <f t="shared" si="3"/>
        <v>0</v>
      </c>
      <c r="W11">
        <f t="shared" si="4"/>
        <v>5</v>
      </c>
      <c r="X11">
        <f t="shared" si="5"/>
        <v>0</v>
      </c>
      <c r="Y11">
        <f t="shared" si="6"/>
        <v>0</v>
      </c>
      <c r="Z11">
        <f t="shared" si="7"/>
        <v>0</v>
      </c>
    </row>
    <row r="12" spans="1:26" x14ac:dyDescent="0.2">
      <c r="B12" s="1">
        <v>5</v>
      </c>
      <c r="C12">
        <v>2026</v>
      </c>
      <c r="D12" s="3" t="s">
        <v>199</v>
      </c>
      <c r="E12" s="3" t="s">
        <v>273</v>
      </c>
      <c r="F12" s="3" t="s">
        <v>75</v>
      </c>
      <c r="G12" s="3" t="s">
        <v>45</v>
      </c>
      <c r="H12" s="3" t="s">
        <v>0</v>
      </c>
      <c r="I12">
        <v>6052754.5599999996</v>
      </c>
      <c r="J12">
        <f>VLOOKUP(H12,REF!$A$2:$D$33,3,0)</f>
        <v>100</v>
      </c>
      <c r="K12">
        <f t="shared" si="0"/>
        <v>0.75</v>
      </c>
      <c r="L12" s="3" t="s">
        <v>146</v>
      </c>
      <c r="M12" s="3" t="s">
        <v>339</v>
      </c>
      <c r="N12" s="4">
        <v>46173</v>
      </c>
      <c r="O12" s="2" t="s">
        <v>341</v>
      </c>
      <c r="P12" s="4">
        <v>46173</v>
      </c>
      <c r="R12">
        <f>Table1[[#This Row],[Penghasilan]]*Table1[[#This Row],[Deemed]]/100</f>
        <v>6052754.5599999996</v>
      </c>
      <c r="S12" t="str">
        <f>VLOOKUP(H12,REF!$A$2:$D$43,4,0)</f>
        <v>TER</v>
      </c>
      <c r="T12" s="12">
        <f t="shared" si="1"/>
        <v>0.75</v>
      </c>
      <c r="U12">
        <f t="shared" si="2"/>
        <v>0</v>
      </c>
      <c r="V12">
        <f t="shared" si="3"/>
        <v>0</v>
      </c>
      <c r="W12">
        <f t="shared" si="4"/>
        <v>5</v>
      </c>
      <c r="X12">
        <f t="shared" si="5"/>
        <v>0</v>
      </c>
      <c r="Y12">
        <f t="shared" si="6"/>
        <v>0</v>
      </c>
      <c r="Z12">
        <f t="shared" si="7"/>
        <v>0</v>
      </c>
    </row>
    <row r="13" spans="1:26" x14ac:dyDescent="0.2">
      <c r="B13" s="1">
        <v>5</v>
      </c>
      <c r="C13">
        <v>2026</v>
      </c>
      <c r="D13" s="3" t="s">
        <v>200</v>
      </c>
      <c r="E13" s="3" t="s">
        <v>274</v>
      </c>
      <c r="F13" s="3" t="s">
        <v>75</v>
      </c>
      <c r="G13" s="3" t="s">
        <v>45</v>
      </c>
      <c r="H13" s="3" t="s">
        <v>0</v>
      </c>
      <c r="I13">
        <v>6213837.7999999998</v>
      </c>
      <c r="J13">
        <f>VLOOKUP(H13,REF!$A$2:$D$33,3,0)</f>
        <v>100</v>
      </c>
      <c r="K13">
        <f t="shared" si="0"/>
        <v>0.75</v>
      </c>
      <c r="L13" s="3" t="s">
        <v>146</v>
      </c>
      <c r="M13" s="3" t="s">
        <v>339</v>
      </c>
      <c r="N13" s="4">
        <v>46173</v>
      </c>
      <c r="O13" s="2" t="s">
        <v>341</v>
      </c>
      <c r="P13" s="4">
        <v>46173</v>
      </c>
      <c r="R13">
        <f>Table1[[#This Row],[Penghasilan]]*Table1[[#This Row],[Deemed]]/100</f>
        <v>6213837.7999999998</v>
      </c>
      <c r="S13" t="str">
        <f>VLOOKUP(H13,REF!$A$2:$D$43,4,0)</f>
        <v>TER</v>
      </c>
      <c r="T13" s="12">
        <f t="shared" si="1"/>
        <v>0.75</v>
      </c>
      <c r="U13">
        <f t="shared" si="2"/>
        <v>0.25</v>
      </c>
      <c r="V13">
        <f t="shared" si="3"/>
        <v>0</v>
      </c>
      <c r="W13">
        <f t="shared" si="4"/>
        <v>5</v>
      </c>
      <c r="X13">
        <f t="shared" si="5"/>
        <v>0</v>
      </c>
      <c r="Y13">
        <f t="shared" si="6"/>
        <v>0</v>
      </c>
      <c r="Z13">
        <f t="shared" si="7"/>
        <v>0</v>
      </c>
    </row>
    <row r="14" spans="1:26" x14ac:dyDescent="0.2">
      <c r="B14" s="1">
        <v>5</v>
      </c>
      <c r="C14">
        <v>2026</v>
      </c>
      <c r="D14" s="3" t="s">
        <v>201</v>
      </c>
      <c r="E14" s="3" t="s">
        <v>275</v>
      </c>
      <c r="F14" s="3" t="s">
        <v>75</v>
      </c>
      <c r="G14" s="3" t="s">
        <v>45</v>
      </c>
      <c r="H14" s="3" t="s">
        <v>0</v>
      </c>
      <c r="I14">
        <v>6315837.7999999998</v>
      </c>
      <c r="J14">
        <f>VLOOKUP(H14,REF!$A$2:$D$33,3,0)</f>
        <v>100</v>
      </c>
      <c r="K14">
        <f t="shared" si="0"/>
        <v>1</v>
      </c>
      <c r="L14" s="3" t="s">
        <v>146</v>
      </c>
      <c r="M14" s="3" t="s">
        <v>339</v>
      </c>
      <c r="N14" s="4">
        <v>46173</v>
      </c>
      <c r="O14" s="2" t="s">
        <v>341</v>
      </c>
      <c r="P14" s="4">
        <v>46173</v>
      </c>
      <c r="R14">
        <f>Table1[[#This Row],[Penghasilan]]*Table1[[#This Row],[Deemed]]/100</f>
        <v>6315837.7999999998</v>
      </c>
      <c r="S14" t="str">
        <f>VLOOKUP(H14,REF!$A$2:$D$43,4,0)</f>
        <v>TER</v>
      </c>
      <c r="T14" s="12">
        <f t="shared" si="1"/>
        <v>1</v>
      </c>
      <c r="U14">
        <f t="shared" si="2"/>
        <v>0.25</v>
      </c>
      <c r="V14">
        <f t="shared" si="3"/>
        <v>0</v>
      </c>
      <c r="W14">
        <f t="shared" si="4"/>
        <v>5</v>
      </c>
      <c r="X14">
        <f t="shared" si="5"/>
        <v>0</v>
      </c>
      <c r="Y14">
        <f t="shared" si="6"/>
        <v>0</v>
      </c>
      <c r="Z14">
        <f t="shared" si="7"/>
        <v>0</v>
      </c>
    </row>
    <row r="15" spans="1:26" x14ac:dyDescent="0.2">
      <c r="B15" s="1">
        <v>5</v>
      </c>
      <c r="C15">
        <v>2026</v>
      </c>
      <c r="D15" s="3" t="s">
        <v>202</v>
      </c>
      <c r="E15" s="3" t="s">
        <v>276</v>
      </c>
      <c r="F15" s="3" t="s">
        <v>75</v>
      </c>
      <c r="G15" s="3" t="s">
        <v>45</v>
      </c>
      <c r="H15" s="3" t="s">
        <v>0</v>
      </c>
      <c r="I15">
        <v>5216671.32</v>
      </c>
      <c r="J15">
        <f>VLOOKUP(H15,REF!$A$2:$D$33,3,0)</f>
        <v>100</v>
      </c>
      <c r="K15">
        <f t="shared" si="0"/>
        <v>0</v>
      </c>
      <c r="L15" s="3" t="s">
        <v>146</v>
      </c>
      <c r="M15" s="3" t="s">
        <v>339</v>
      </c>
      <c r="N15" s="4">
        <v>46173</v>
      </c>
      <c r="O15" s="2" t="s">
        <v>341</v>
      </c>
      <c r="P15" s="4">
        <v>46173</v>
      </c>
      <c r="R15">
        <f>Table1[[#This Row],[Penghasilan]]*Table1[[#This Row],[Deemed]]/100</f>
        <v>5216671.32</v>
      </c>
      <c r="S15" t="str">
        <f>VLOOKUP(H15,REF!$A$2:$D$43,4,0)</f>
        <v>TER</v>
      </c>
      <c r="T15" s="12">
        <f t="shared" si="1"/>
        <v>0</v>
      </c>
      <c r="U15">
        <f t="shared" si="2"/>
        <v>0</v>
      </c>
      <c r="V15">
        <f t="shared" si="3"/>
        <v>0</v>
      </c>
      <c r="W15">
        <f t="shared" si="4"/>
        <v>5</v>
      </c>
      <c r="X15">
        <f t="shared" si="5"/>
        <v>0</v>
      </c>
      <c r="Y15">
        <f t="shared" si="6"/>
        <v>0</v>
      </c>
      <c r="Z15">
        <f t="shared" si="7"/>
        <v>0</v>
      </c>
    </row>
    <row r="16" spans="1:26" x14ac:dyDescent="0.2">
      <c r="B16" s="1">
        <v>5</v>
      </c>
      <c r="C16">
        <v>2026</v>
      </c>
      <c r="D16" s="3" t="s">
        <v>203</v>
      </c>
      <c r="E16" s="3" t="s">
        <v>277</v>
      </c>
      <c r="F16" s="3" t="s">
        <v>75</v>
      </c>
      <c r="G16" s="3" t="s">
        <v>45</v>
      </c>
      <c r="H16" s="3" t="s">
        <v>0</v>
      </c>
      <c r="I16">
        <v>5216671.32</v>
      </c>
      <c r="J16">
        <f>VLOOKUP(H16,REF!$A$2:$D$33,3,0)</f>
        <v>100</v>
      </c>
      <c r="K16">
        <f t="shared" si="0"/>
        <v>0</v>
      </c>
      <c r="L16" s="3" t="s">
        <v>146</v>
      </c>
      <c r="M16" s="3" t="s">
        <v>339</v>
      </c>
      <c r="N16" s="4">
        <v>46173</v>
      </c>
      <c r="O16" s="2" t="s">
        <v>341</v>
      </c>
      <c r="P16" s="4">
        <v>46173</v>
      </c>
      <c r="R16">
        <f>Table1[[#This Row],[Penghasilan]]*Table1[[#This Row],[Deemed]]/100</f>
        <v>5216671.32</v>
      </c>
      <c r="S16" t="str">
        <f>VLOOKUP(H16,REF!$A$2:$D$43,4,0)</f>
        <v>TER</v>
      </c>
      <c r="T16" s="12">
        <f t="shared" si="1"/>
        <v>0</v>
      </c>
      <c r="U16">
        <f t="shared" si="2"/>
        <v>0</v>
      </c>
      <c r="V16">
        <f t="shared" si="3"/>
        <v>0</v>
      </c>
      <c r="W16">
        <f t="shared" si="4"/>
        <v>5</v>
      </c>
      <c r="X16">
        <f t="shared" si="5"/>
        <v>0</v>
      </c>
      <c r="Y16">
        <f t="shared" si="6"/>
        <v>0</v>
      </c>
      <c r="Z16">
        <f t="shared" si="7"/>
        <v>0</v>
      </c>
    </row>
    <row r="17" spans="2:26" x14ac:dyDescent="0.2">
      <c r="B17" s="1">
        <v>5</v>
      </c>
      <c r="C17">
        <v>2026</v>
      </c>
      <c r="D17" s="3" t="s">
        <v>204</v>
      </c>
      <c r="E17" s="3" t="s">
        <v>278</v>
      </c>
      <c r="F17" s="3" t="s">
        <v>75</v>
      </c>
      <c r="G17" s="3" t="s">
        <v>45</v>
      </c>
      <c r="H17" s="3" t="s">
        <v>0</v>
      </c>
      <c r="I17">
        <v>4911504.84</v>
      </c>
      <c r="J17">
        <f>VLOOKUP(H17,REF!$A$2:$D$33,3,0)</f>
        <v>100</v>
      </c>
      <c r="K17">
        <f t="shared" si="0"/>
        <v>0</v>
      </c>
      <c r="L17" s="3" t="s">
        <v>146</v>
      </c>
      <c r="M17" s="3" t="s">
        <v>339</v>
      </c>
      <c r="N17" s="4">
        <v>46173</v>
      </c>
      <c r="O17" s="2" t="s">
        <v>341</v>
      </c>
      <c r="P17" s="4">
        <v>46173</v>
      </c>
      <c r="R17">
        <f>Table1[[#This Row],[Penghasilan]]*Table1[[#This Row],[Deemed]]/100</f>
        <v>4911504.84</v>
      </c>
      <c r="S17" t="str">
        <f>VLOOKUP(H17,REF!$A$2:$D$43,4,0)</f>
        <v>TER</v>
      </c>
      <c r="T17" s="12">
        <f t="shared" si="1"/>
        <v>0</v>
      </c>
      <c r="U17">
        <f t="shared" si="2"/>
        <v>0</v>
      </c>
      <c r="V17">
        <f t="shared" si="3"/>
        <v>0</v>
      </c>
      <c r="W17">
        <f t="shared" si="4"/>
        <v>5</v>
      </c>
      <c r="X17">
        <f t="shared" si="5"/>
        <v>0</v>
      </c>
      <c r="Y17">
        <f t="shared" si="6"/>
        <v>0</v>
      </c>
      <c r="Z17">
        <f t="shared" si="7"/>
        <v>0</v>
      </c>
    </row>
    <row r="18" spans="2:26" x14ac:dyDescent="0.2">
      <c r="B18" s="1">
        <v>5</v>
      </c>
      <c r="C18">
        <v>2026</v>
      </c>
      <c r="D18" s="3" t="s">
        <v>205</v>
      </c>
      <c r="E18" s="3" t="s">
        <v>279</v>
      </c>
      <c r="F18" s="3" t="s">
        <v>75</v>
      </c>
      <c r="G18" s="3" t="s">
        <v>45</v>
      </c>
      <c r="H18" s="3" t="s">
        <v>0</v>
      </c>
      <c r="I18">
        <v>5712754.5599999996</v>
      </c>
      <c r="J18">
        <f>VLOOKUP(H18,REF!$A$2:$D$33,3,0)</f>
        <v>100</v>
      </c>
      <c r="K18">
        <f t="shared" si="0"/>
        <v>0.5</v>
      </c>
      <c r="L18" s="3" t="s">
        <v>146</v>
      </c>
      <c r="M18" s="3" t="s">
        <v>339</v>
      </c>
      <c r="N18" s="4">
        <v>46173</v>
      </c>
      <c r="O18" s="2" t="s">
        <v>341</v>
      </c>
      <c r="P18" s="4">
        <v>46173</v>
      </c>
      <c r="R18">
        <f>Table1[[#This Row],[Penghasilan]]*Table1[[#This Row],[Deemed]]/100</f>
        <v>5712754.5599999996</v>
      </c>
      <c r="S18" t="str">
        <f>VLOOKUP(H18,REF!$A$2:$D$43,4,0)</f>
        <v>TER</v>
      </c>
      <c r="T18" s="12">
        <f t="shared" si="1"/>
        <v>0.5</v>
      </c>
      <c r="U18">
        <f t="shared" si="2"/>
        <v>0</v>
      </c>
      <c r="V18">
        <f t="shared" si="3"/>
        <v>0</v>
      </c>
      <c r="W18">
        <f t="shared" si="4"/>
        <v>5</v>
      </c>
      <c r="X18">
        <f t="shared" si="5"/>
        <v>0</v>
      </c>
      <c r="Y18">
        <f t="shared" si="6"/>
        <v>0</v>
      </c>
      <c r="Z18">
        <f t="shared" si="7"/>
        <v>0</v>
      </c>
    </row>
    <row r="19" spans="2:26" x14ac:dyDescent="0.2">
      <c r="B19" s="1">
        <v>5</v>
      </c>
      <c r="C19">
        <v>2026</v>
      </c>
      <c r="D19" s="3" t="s">
        <v>206</v>
      </c>
      <c r="E19" s="3" t="s">
        <v>280</v>
      </c>
      <c r="F19" s="3" t="s">
        <v>75</v>
      </c>
      <c r="G19" s="3" t="s">
        <v>45</v>
      </c>
      <c r="H19" s="3" t="s">
        <v>0</v>
      </c>
      <c r="I19">
        <v>4775504.84</v>
      </c>
      <c r="J19">
        <f>VLOOKUP(H19,REF!$A$2:$D$33,3,0)</f>
        <v>100</v>
      </c>
      <c r="K19">
        <f t="shared" si="0"/>
        <v>0</v>
      </c>
      <c r="L19" s="3" t="s">
        <v>146</v>
      </c>
      <c r="M19" s="3" t="s">
        <v>339</v>
      </c>
      <c r="N19" s="4">
        <v>46173</v>
      </c>
      <c r="O19" s="2" t="s">
        <v>341</v>
      </c>
      <c r="P19" s="4">
        <v>46173</v>
      </c>
      <c r="R19">
        <f>Table1[[#This Row],[Penghasilan]]*Table1[[#This Row],[Deemed]]/100</f>
        <v>4775504.84</v>
      </c>
      <c r="S19" t="str">
        <f>VLOOKUP(H19,REF!$A$2:$D$43,4,0)</f>
        <v>TER</v>
      </c>
      <c r="T19" s="12">
        <f t="shared" si="1"/>
        <v>0</v>
      </c>
      <c r="U19">
        <f t="shared" si="2"/>
        <v>0</v>
      </c>
      <c r="V19">
        <f t="shared" si="3"/>
        <v>0</v>
      </c>
      <c r="W19">
        <f t="shared" si="4"/>
        <v>5</v>
      </c>
      <c r="X19">
        <f t="shared" si="5"/>
        <v>0</v>
      </c>
      <c r="Y19">
        <f t="shared" si="6"/>
        <v>0</v>
      </c>
      <c r="Z19">
        <f t="shared" si="7"/>
        <v>0</v>
      </c>
    </row>
    <row r="20" spans="2:26" x14ac:dyDescent="0.2">
      <c r="B20" s="1">
        <v>5</v>
      </c>
      <c r="C20">
        <v>2026</v>
      </c>
      <c r="D20" s="3" t="s">
        <v>207</v>
      </c>
      <c r="E20" s="3" t="s">
        <v>281</v>
      </c>
      <c r="F20" s="3" t="s">
        <v>75</v>
      </c>
      <c r="G20" s="3" t="s">
        <v>45</v>
      </c>
      <c r="H20" s="3" t="s">
        <v>0</v>
      </c>
      <c r="I20">
        <v>5064504.84</v>
      </c>
      <c r="J20">
        <f>VLOOKUP(H20,REF!$A$2:$D$33,3,0)</f>
        <v>100</v>
      </c>
      <c r="K20">
        <f t="shared" si="0"/>
        <v>0</v>
      </c>
      <c r="L20" s="3" t="s">
        <v>146</v>
      </c>
      <c r="M20" s="3" t="s">
        <v>339</v>
      </c>
      <c r="N20" s="4">
        <v>46173</v>
      </c>
      <c r="O20" s="2" t="s">
        <v>341</v>
      </c>
      <c r="P20" s="4">
        <v>46173</v>
      </c>
      <c r="R20">
        <f>Table1[[#This Row],[Penghasilan]]*Table1[[#This Row],[Deemed]]/100</f>
        <v>5064504.84</v>
      </c>
      <c r="S20" t="str">
        <f>VLOOKUP(H20,REF!$A$2:$D$43,4,0)</f>
        <v>TER</v>
      </c>
      <c r="T20" s="12">
        <f t="shared" si="1"/>
        <v>0</v>
      </c>
      <c r="U20">
        <f t="shared" si="2"/>
        <v>0</v>
      </c>
      <c r="V20">
        <f t="shared" si="3"/>
        <v>0</v>
      </c>
      <c r="W20">
        <f t="shared" si="4"/>
        <v>5</v>
      </c>
      <c r="X20">
        <f t="shared" si="5"/>
        <v>0</v>
      </c>
      <c r="Y20">
        <f t="shared" si="6"/>
        <v>0</v>
      </c>
      <c r="Z20">
        <f t="shared" si="7"/>
        <v>0</v>
      </c>
    </row>
    <row r="21" spans="2:26" x14ac:dyDescent="0.2">
      <c r="B21" s="1">
        <v>5</v>
      </c>
      <c r="C21">
        <v>2026</v>
      </c>
      <c r="D21" s="3" t="s">
        <v>208</v>
      </c>
      <c r="E21" s="3" t="s">
        <v>282</v>
      </c>
      <c r="F21" s="3" t="s">
        <v>75</v>
      </c>
      <c r="G21" s="3" t="s">
        <v>45</v>
      </c>
      <c r="H21" s="3" t="s">
        <v>0</v>
      </c>
      <c r="I21">
        <v>5505671.3200000003</v>
      </c>
      <c r="J21">
        <f>VLOOKUP(H21,REF!$A$2:$D$33,3,0)</f>
        <v>100</v>
      </c>
      <c r="K21">
        <f t="shared" si="0"/>
        <v>0.25</v>
      </c>
      <c r="L21" s="3" t="s">
        <v>146</v>
      </c>
      <c r="M21" s="3" t="s">
        <v>339</v>
      </c>
      <c r="N21" s="4">
        <v>46173</v>
      </c>
      <c r="O21" s="2" t="s">
        <v>341</v>
      </c>
      <c r="P21" s="4">
        <v>46173</v>
      </c>
      <c r="R21">
        <f>Table1[[#This Row],[Penghasilan]]*Table1[[#This Row],[Deemed]]/100</f>
        <v>5505671.3200000003</v>
      </c>
      <c r="S21" t="str">
        <f>VLOOKUP(H21,REF!$A$2:$D$43,4,0)</f>
        <v>TER</v>
      </c>
      <c r="T21" s="12">
        <f t="shared" si="1"/>
        <v>0.25</v>
      </c>
      <c r="U21">
        <f t="shared" si="2"/>
        <v>0</v>
      </c>
      <c r="V21">
        <f t="shared" si="3"/>
        <v>0</v>
      </c>
      <c r="W21">
        <f t="shared" si="4"/>
        <v>5</v>
      </c>
      <c r="X21">
        <f t="shared" si="5"/>
        <v>0</v>
      </c>
      <c r="Y21">
        <f t="shared" si="6"/>
        <v>0</v>
      </c>
      <c r="Z21">
        <f t="shared" si="7"/>
        <v>0</v>
      </c>
    </row>
    <row r="22" spans="2:26" x14ac:dyDescent="0.2">
      <c r="B22" s="1">
        <v>5</v>
      </c>
      <c r="C22">
        <v>2026</v>
      </c>
      <c r="D22" s="3" t="s">
        <v>209</v>
      </c>
      <c r="E22" s="3" t="s">
        <v>283</v>
      </c>
      <c r="F22" s="3" t="s">
        <v>75</v>
      </c>
      <c r="G22" s="3" t="s">
        <v>45</v>
      </c>
      <c r="H22" s="3" t="s">
        <v>0</v>
      </c>
      <c r="I22">
        <v>4724504.84</v>
      </c>
      <c r="J22">
        <f>VLOOKUP(H22,REF!$A$2:$D$33,3,0)</f>
        <v>100</v>
      </c>
      <c r="K22">
        <f t="shared" si="0"/>
        <v>0</v>
      </c>
      <c r="L22" s="3" t="s">
        <v>146</v>
      </c>
      <c r="M22" s="3" t="s">
        <v>339</v>
      </c>
      <c r="N22" s="4">
        <v>46173</v>
      </c>
      <c r="O22" s="2" t="s">
        <v>341</v>
      </c>
      <c r="P22" s="4">
        <v>46173</v>
      </c>
      <c r="R22">
        <f>Table1[[#This Row],[Penghasilan]]*Table1[[#This Row],[Deemed]]/100</f>
        <v>4724504.84</v>
      </c>
      <c r="S22" t="str">
        <f>VLOOKUP(H22,REF!$A$2:$D$43,4,0)</f>
        <v>TER</v>
      </c>
      <c r="T22" s="12">
        <f t="shared" si="1"/>
        <v>0</v>
      </c>
      <c r="U22">
        <f t="shared" si="2"/>
        <v>0</v>
      </c>
      <c r="V22">
        <f t="shared" si="3"/>
        <v>0</v>
      </c>
      <c r="W22">
        <f t="shared" si="4"/>
        <v>5</v>
      </c>
      <c r="X22">
        <f t="shared" si="5"/>
        <v>0</v>
      </c>
      <c r="Y22">
        <f t="shared" si="6"/>
        <v>0</v>
      </c>
      <c r="Z22">
        <f t="shared" si="7"/>
        <v>0</v>
      </c>
    </row>
    <row r="23" spans="2:26" x14ac:dyDescent="0.2">
      <c r="B23" s="1">
        <v>5</v>
      </c>
      <c r="C23">
        <v>2026</v>
      </c>
      <c r="D23" s="3" t="s">
        <v>210</v>
      </c>
      <c r="E23" s="3" t="s">
        <v>284</v>
      </c>
      <c r="F23" s="3" t="s">
        <v>75</v>
      </c>
      <c r="G23" s="3" t="s">
        <v>45</v>
      </c>
      <c r="H23" s="3" t="s">
        <v>0</v>
      </c>
      <c r="I23">
        <v>5573671.3200000003</v>
      </c>
      <c r="J23">
        <f>VLOOKUP(H23,REF!$A$2:$D$33,3,0)</f>
        <v>100</v>
      </c>
      <c r="K23">
        <f t="shared" si="0"/>
        <v>0.25</v>
      </c>
      <c r="L23" s="3" t="s">
        <v>146</v>
      </c>
      <c r="M23" s="3" t="s">
        <v>339</v>
      </c>
      <c r="N23" s="4">
        <v>46173</v>
      </c>
      <c r="O23" s="2" t="s">
        <v>341</v>
      </c>
      <c r="P23" s="4">
        <v>46173</v>
      </c>
      <c r="R23">
        <f>Table1[[#This Row],[Penghasilan]]*Table1[[#This Row],[Deemed]]/100</f>
        <v>5573671.3200000003</v>
      </c>
      <c r="S23" t="str">
        <f>VLOOKUP(H23,REF!$A$2:$D$43,4,0)</f>
        <v>TER</v>
      </c>
      <c r="T23" s="12">
        <f t="shared" si="1"/>
        <v>0.25</v>
      </c>
      <c r="U23">
        <f t="shared" si="2"/>
        <v>0</v>
      </c>
      <c r="V23">
        <f t="shared" si="3"/>
        <v>0</v>
      </c>
      <c r="W23">
        <f t="shared" si="4"/>
        <v>5</v>
      </c>
      <c r="X23">
        <f t="shared" si="5"/>
        <v>0</v>
      </c>
      <c r="Y23">
        <f t="shared" si="6"/>
        <v>0</v>
      </c>
      <c r="Z23">
        <f t="shared" si="7"/>
        <v>0</v>
      </c>
    </row>
    <row r="24" spans="2:26" x14ac:dyDescent="0.2">
      <c r="B24" s="1">
        <v>5</v>
      </c>
      <c r="C24">
        <v>2026</v>
      </c>
      <c r="D24" s="3" t="s">
        <v>211</v>
      </c>
      <c r="E24" s="3" t="s">
        <v>285</v>
      </c>
      <c r="F24" s="3" t="s">
        <v>75</v>
      </c>
      <c r="G24" s="3" t="s">
        <v>45</v>
      </c>
      <c r="H24" s="3" t="s">
        <v>0</v>
      </c>
      <c r="I24">
        <v>6162837.7999999998</v>
      </c>
      <c r="J24">
        <f>VLOOKUP(H24,REF!$A$2:$D$33,3,0)</f>
        <v>100</v>
      </c>
      <c r="K24">
        <f t="shared" si="0"/>
        <v>0.75</v>
      </c>
      <c r="L24" s="3" t="s">
        <v>146</v>
      </c>
      <c r="M24" s="3" t="s">
        <v>339</v>
      </c>
      <c r="N24" s="4">
        <v>46173</v>
      </c>
      <c r="O24" s="2" t="s">
        <v>341</v>
      </c>
      <c r="P24" s="4">
        <v>46173</v>
      </c>
      <c r="R24">
        <f>Table1[[#This Row],[Penghasilan]]*Table1[[#This Row],[Deemed]]/100</f>
        <v>6162837.7999999998</v>
      </c>
      <c r="S24" t="str">
        <f>VLOOKUP(H24,REF!$A$2:$D$43,4,0)</f>
        <v>TER</v>
      </c>
      <c r="T24" s="12">
        <f t="shared" si="1"/>
        <v>0.75</v>
      </c>
      <c r="U24">
        <f t="shared" si="2"/>
        <v>0</v>
      </c>
      <c r="V24">
        <f t="shared" si="3"/>
        <v>0</v>
      </c>
      <c r="W24">
        <f t="shared" si="4"/>
        <v>5</v>
      </c>
      <c r="X24">
        <f t="shared" si="5"/>
        <v>0</v>
      </c>
      <c r="Y24">
        <f t="shared" si="6"/>
        <v>0</v>
      </c>
      <c r="Z24">
        <f t="shared" si="7"/>
        <v>0</v>
      </c>
    </row>
    <row r="25" spans="2:26" x14ac:dyDescent="0.2">
      <c r="B25" s="1">
        <v>5</v>
      </c>
      <c r="C25">
        <v>2026</v>
      </c>
      <c r="D25" s="3" t="s">
        <v>212</v>
      </c>
      <c r="E25" s="3" t="s">
        <v>286</v>
      </c>
      <c r="F25" s="3" t="s">
        <v>75</v>
      </c>
      <c r="G25" s="3" t="s">
        <v>45</v>
      </c>
      <c r="H25" s="3" t="s">
        <v>0</v>
      </c>
      <c r="I25">
        <v>6281837.7999999998</v>
      </c>
      <c r="J25">
        <f>VLOOKUP(H25,REF!$A$2:$D$33,3,0)</f>
        <v>100</v>
      </c>
      <c r="K25">
        <f t="shared" si="0"/>
        <v>0.75</v>
      </c>
      <c r="L25" s="3" t="s">
        <v>146</v>
      </c>
      <c r="M25" s="3" t="s">
        <v>339</v>
      </c>
      <c r="N25" s="4">
        <v>46173</v>
      </c>
      <c r="O25" s="2" t="s">
        <v>341</v>
      </c>
      <c r="P25" s="4">
        <v>46173</v>
      </c>
      <c r="R25">
        <f>Table1[[#This Row],[Penghasilan]]*Table1[[#This Row],[Deemed]]/100</f>
        <v>6281837.7999999998</v>
      </c>
      <c r="S25" t="str">
        <f>VLOOKUP(H25,REF!$A$2:$D$43,4,0)</f>
        <v>TER</v>
      </c>
      <c r="T25" s="12">
        <f t="shared" si="1"/>
        <v>0.75</v>
      </c>
      <c r="U25">
        <f t="shared" si="2"/>
        <v>0.25</v>
      </c>
      <c r="V25">
        <f t="shared" si="3"/>
        <v>0</v>
      </c>
      <c r="W25">
        <f t="shared" si="4"/>
        <v>5</v>
      </c>
      <c r="X25">
        <f t="shared" si="5"/>
        <v>0</v>
      </c>
      <c r="Y25">
        <f t="shared" si="6"/>
        <v>0</v>
      </c>
      <c r="Z25">
        <f t="shared" si="7"/>
        <v>0</v>
      </c>
    </row>
    <row r="26" spans="2:26" x14ac:dyDescent="0.2">
      <c r="B26" s="1">
        <v>5</v>
      </c>
      <c r="C26">
        <v>2026</v>
      </c>
      <c r="D26" s="3" t="s">
        <v>213</v>
      </c>
      <c r="E26" s="3" t="s">
        <v>287</v>
      </c>
      <c r="F26" s="3" t="s">
        <v>75</v>
      </c>
      <c r="G26" s="3" t="s">
        <v>45</v>
      </c>
      <c r="H26" s="3" t="s">
        <v>0</v>
      </c>
      <c r="I26">
        <v>6281837.7999999998</v>
      </c>
      <c r="J26">
        <f>VLOOKUP(H26,REF!$A$2:$D$33,3,0)</f>
        <v>100</v>
      </c>
      <c r="K26">
        <f t="shared" si="0"/>
        <v>0.75</v>
      </c>
      <c r="L26" s="3" t="s">
        <v>146</v>
      </c>
      <c r="M26" s="3" t="s">
        <v>339</v>
      </c>
      <c r="N26" s="4">
        <v>46173</v>
      </c>
      <c r="O26" s="2" t="s">
        <v>341</v>
      </c>
      <c r="P26" s="4">
        <v>46173</v>
      </c>
      <c r="R26">
        <f>Table1[[#This Row],[Penghasilan]]*Table1[[#This Row],[Deemed]]/100</f>
        <v>6281837.7999999998</v>
      </c>
      <c r="S26" t="str">
        <f>VLOOKUP(H26,REF!$A$2:$D$43,4,0)</f>
        <v>TER</v>
      </c>
      <c r="T26" s="12">
        <f t="shared" si="1"/>
        <v>0.75</v>
      </c>
      <c r="U26">
        <f t="shared" si="2"/>
        <v>0.25</v>
      </c>
      <c r="V26">
        <f t="shared" si="3"/>
        <v>0</v>
      </c>
      <c r="W26">
        <f t="shared" si="4"/>
        <v>5</v>
      </c>
      <c r="X26">
        <f t="shared" si="5"/>
        <v>0</v>
      </c>
      <c r="Y26">
        <f t="shared" si="6"/>
        <v>0</v>
      </c>
      <c r="Z26">
        <f t="shared" si="7"/>
        <v>0</v>
      </c>
    </row>
    <row r="27" spans="2:26" x14ac:dyDescent="0.2">
      <c r="B27" s="1">
        <v>5</v>
      </c>
      <c r="C27">
        <v>2026</v>
      </c>
      <c r="D27" s="3" t="s">
        <v>214</v>
      </c>
      <c r="E27" s="3" t="s">
        <v>288</v>
      </c>
      <c r="F27" s="3" t="s">
        <v>75</v>
      </c>
      <c r="G27" s="3" t="s">
        <v>45</v>
      </c>
      <c r="H27" s="3" t="s">
        <v>0</v>
      </c>
      <c r="I27">
        <v>6315837.7999999998</v>
      </c>
      <c r="J27">
        <f>VLOOKUP(H27,REF!$A$2:$D$33,3,0)</f>
        <v>100</v>
      </c>
      <c r="K27">
        <f t="shared" si="0"/>
        <v>1</v>
      </c>
      <c r="L27" s="3" t="s">
        <v>146</v>
      </c>
      <c r="M27" s="3" t="s">
        <v>339</v>
      </c>
      <c r="N27" s="4">
        <v>46173</v>
      </c>
      <c r="O27" s="2" t="s">
        <v>341</v>
      </c>
      <c r="P27" s="4">
        <v>46173</v>
      </c>
      <c r="R27">
        <f>Table1[[#This Row],[Penghasilan]]*Table1[[#This Row],[Deemed]]/100</f>
        <v>6315837.7999999998</v>
      </c>
      <c r="S27" t="str">
        <f>VLOOKUP(H27,REF!$A$2:$D$43,4,0)</f>
        <v>TER</v>
      </c>
      <c r="T27" s="12">
        <f t="shared" si="1"/>
        <v>1</v>
      </c>
      <c r="U27">
        <f t="shared" si="2"/>
        <v>0.25</v>
      </c>
      <c r="V27">
        <f t="shared" si="3"/>
        <v>0</v>
      </c>
      <c r="W27">
        <f t="shared" si="4"/>
        <v>5</v>
      </c>
      <c r="X27">
        <f t="shared" si="5"/>
        <v>0</v>
      </c>
      <c r="Y27">
        <f t="shared" si="6"/>
        <v>0</v>
      </c>
      <c r="Z27">
        <f t="shared" si="7"/>
        <v>0</v>
      </c>
    </row>
    <row r="28" spans="2:26" x14ac:dyDescent="0.2">
      <c r="B28" s="1">
        <v>5</v>
      </c>
      <c r="C28">
        <v>2026</v>
      </c>
      <c r="D28" s="3" t="s">
        <v>215</v>
      </c>
      <c r="E28" s="3" t="s">
        <v>289</v>
      </c>
      <c r="F28" s="3" t="s">
        <v>75</v>
      </c>
      <c r="G28" s="3" t="s">
        <v>45</v>
      </c>
      <c r="H28" s="3" t="s">
        <v>0</v>
      </c>
      <c r="I28">
        <v>6145837.7999999998</v>
      </c>
      <c r="J28">
        <f>VLOOKUP(H28,REF!$A$2:$D$33,3,0)</f>
        <v>100</v>
      </c>
      <c r="K28">
        <f t="shared" si="0"/>
        <v>0.75</v>
      </c>
      <c r="L28" s="3" t="s">
        <v>146</v>
      </c>
      <c r="M28" s="3" t="s">
        <v>339</v>
      </c>
      <c r="N28" s="4">
        <v>46173</v>
      </c>
      <c r="O28" s="2" t="s">
        <v>341</v>
      </c>
      <c r="P28" s="4">
        <v>46173</v>
      </c>
      <c r="R28">
        <f>Table1[[#This Row],[Penghasilan]]*Table1[[#This Row],[Deemed]]/100</f>
        <v>6145837.7999999998</v>
      </c>
      <c r="S28" t="str">
        <f>VLOOKUP(H28,REF!$A$2:$D$43,4,0)</f>
        <v>TER</v>
      </c>
      <c r="T28" s="12">
        <f t="shared" si="1"/>
        <v>0.75</v>
      </c>
      <c r="U28">
        <f t="shared" si="2"/>
        <v>0</v>
      </c>
      <c r="V28">
        <f t="shared" si="3"/>
        <v>0</v>
      </c>
      <c r="W28">
        <f t="shared" si="4"/>
        <v>5</v>
      </c>
      <c r="X28">
        <f t="shared" si="5"/>
        <v>0</v>
      </c>
      <c r="Y28">
        <f t="shared" si="6"/>
        <v>0</v>
      </c>
      <c r="Z28">
        <f t="shared" si="7"/>
        <v>0</v>
      </c>
    </row>
    <row r="29" spans="2:26" x14ac:dyDescent="0.2">
      <c r="B29" s="1">
        <v>5</v>
      </c>
      <c r="C29">
        <v>2026</v>
      </c>
      <c r="D29" s="3" t="s">
        <v>216</v>
      </c>
      <c r="E29" s="3" t="s">
        <v>290</v>
      </c>
      <c r="F29" s="3" t="s">
        <v>75</v>
      </c>
      <c r="G29" s="3" t="s">
        <v>45</v>
      </c>
      <c r="H29" s="3" t="s">
        <v>0</v>
      </c>
      <c r="I29">
        <v>5081504.84</v>
      </c>
      <c r="J29">
        <f>VLOOKUP(H29,REF!$A$2:$D$33,3,0)</f>
        <v>100</v>
      </c>
      <c r="K29">
        <f t="shared" si="0"/>
        <v>0</v>
      </c>
      <c r="L29" s="3" t="s">
        <v>146</v>
      </c>
      <c r="M29" s="3" t="s">
        <v>339</v>
      </c>
      <c r="N29" s="4">
        <v>46173</v>
      </c>
      <c r="O29" s="2" t="s">
        <v>341</v>
      </c>
      <c r="P29" s="4">
        <v>46173</v>
      </c>
      <c r="R29">
        <f>Table1[[#This Row],[Penghasilan]]*Table1[[#This Row],[Deemed]]/100</f>
        <v>5081504.84</v>
      </c>
      <c r="S29" t="str">
        <f>VLOOKUP(H29,REF!$A$2:$D$43,4,0)</f>
        <v>TER</v>
      </c>
      <c r="T29" s="12">
        <f t="shared" si="1"/>
        <v>0</v>
      </c>
      <c r="U29">
        <f t="shared" si="2"/>
        <v>0</v>
      </c>
      <c r="V29">
        <f t="shared" si="3"/>
        <v>0</v>
      </c>
      <c r="W29">
        <f t="shared" si="4"/>
        <v>5</v>
      </c>
      <c r="X29">
        <f t="shared" si="5"/>
        <v>0</v>
      </c>
      <c r="Y29">
        <f t="shared" si="6"/>
        <v>0</v>
      </c>
      <c r="Z29">
        <f t="shared" si="7"/>
        <v>0</v>
      </c>
    </row>
    <row r="30" spans="2:26" x14ac:dyDescent="0.2">
      <c r="B30" s="1">
        <v>5</v>
      </c>
      <c r="C30">
        <v>2026</v>
      </c>
      <c r="D30" s="3" t="s">
        <v>217</v>
      </c>
      <c r="E30" s="3" t="s">
        <v>291</v>
      </c>
      <c r="F30" s="3" t="s">
        <v>75</v>
      </c>
      <c r="G30" s="3" t="s">
        <v>45</v>
      </c>
      <c r="H30" s="3" t="s">
        <v>0</v>
      </c>
      <c r="I30">
        <v>387000</v>
      </c>
      <c r="J30">
        <f>VLOOKUP(H30,REF!$A$2:$D$33,3,0)</f>
        <v>100</v>
      </c>
      <c r="K30">
        <f t="shared" si="0"/>
        <v>0</v>
      </c>
      <c r="L30" s="3" t="s">
        <v>146</v>
      </c>
      <c r="M30" s="3" t="s">
        <v>339</v>
      </c>
      <c r="N30" s="4">
        <v>46173</v>
      </c>
      <c r="O30" s="2" t="s">
        <v>341</v>
      </c>
      <c r="P30" s="4">
        <v>46173</v>
      </c>
      <c r="R30">
        <f>Table1[[#This Row],[Penghasilan]]*Table1[[#This Row],[Deemed]]/100</f>
        <v>387000</v>
      </c>
      <c r="S30" t="str">
        <f>VLOOKUP(H30,REF!$A$2:$D$43,4,0)</f>
        <v>TER</v>
      </c>
      <c r="T30" s="12">
        <f t="shared" si="1"/>
        <v>0</v>
      </c>
      <c r="U30">
        <f t="shared" si="2"/>
        <v>0</v>
      </c>
      <c r="V30">
        <f t="shared" si="3"/>
        <v>0</v>
      </c>
      <c r="W30">
        <f t="shared" si="4"/>
        <v>5</v>
      </c>
      <c r="X30">
        <f t="shared" si="5"/>
        <v>0</v>
      </c>
      <c r="Y30">
        <f t="shared" si="6"/>
        <v>0</v>
      </c>
      <c r="Z30">
        <f t="shared" si="7"/>
        <v>0</v>
      </c>
    </row>
    <row r="31" spans="2:26" x14ac:dyDescent="0.2">
      <c r="B31" s="1">
        <v>5</v>
      </c>
      <c r="C31">
        <v>2026</v>
      </c>
      <c r="D31" s="3" t="s">
        <v>218</v>
      </c>
      <c r="E31" s="3" t="s">
        <v>292</v>
      </c>
      <c r="F31" s="3" t="s">
        <v>75</v>
      </c>
      <c r="G31" s="3" t="s">
        <v>45</v>
      </c>
      <c r="H31" s="3" t="s">
        <v>0</v>
      </c>
      <c r="I31">
        <v>170000</v>
      </c>
      <c r="J31">
        <f>VLOOKUP(H31,REF!$A$2:$D$33,3,0)</f>
        <v>100</v>
      </c>
      <c r="K31">
        <f t="shared" si="0"/>
        <v>0</v>
      </c>
      <c r="L31" s="3" t="s">
        <v>146</v>
      </c>
      <c r="M31" s="3" t="s">
        <v>339</v>
      </c>
      <c r="N31" s="4">
        <v>46173</v>
      </c>
      <c r="O31" s="2" t="s">
        <v>341</v>
      </c>
      <c r="P31" s="4">
        <v>46173</v>
      </c>
      <c r="R31">
        <f>Table1[[#This Row],[Penghasilan]]*Table1[[#This Row],[Deemed]]/100</f>
        <v>170000</v>
      </c>
      <c r="S31" t="str">
        <f>VLOOKUP(H31,REF!$A$2:$D$43,4,0)</f>
        <v>TER</v>
      </c>
      <c r="T31" s="12">
        <f t="shared" si="1"/>
        <v>0</v>
      </c>
      <c r="U31">
        <f t="shared" si="2"/>
        <v>0</v>
      </c>
      <c r="V31">
        <f t="shared" si="3"/>
        <v>0</v>
      </c>
      <c r="W31">
        <f t="shared" si="4"/>
        <v>5</v>
      </c>
      <c r="X31">
        <f t="shared" si="5"/>
        <v>0</v>
      </c>
      <c r="Y31">
        <f t="shared" si="6"/>
        <v>0</v>
      </c>
      <c r="Z31">
        <f t="shared" si="7"/>
        <v>0</v>
      </c>
    </row>
    <row r="32" spans="2:26" x14ac:dyDescent="0.2">
      <c r="B32" s="1">
        <v>5</v>
      </c>
      <c r="C32">
        <v>2026</v>
      </c>
      <c r="D32" s="3" t="s">
        <v>219</v>
      </c>
      <c r="E32" s="3" t="s">
        <v>293</v>
      </c>
      <c r="F32" s="3" t="s">
        <v>75</v>
      </c>
      <c r="G32" s="3" t="s">
        <v>45</v>
      </c>
      <c r="H32" s="3" t="s">
        <v>0</v>
      </c>
      <c r="I32">
        <v>319000</v>
      </c>
      <c r="J32">
        <f>VLOOKUP(H32,REF!$A$2:$D$33,3,0)</f>
        <v>100</v>
      </c>
      <c r="K32">
        <f t="shared" si="0"/>
        <v>0</v>
      </c>
      <c r="L32" s="3" t="s">
        <v>146</v>
      </c>
      <c r="M32" s="3" t="s">
        <v>339</v>
      </c>
      <c r="N32" s="4">
        <v>46173</v>
      </c>
      <c r="O32" s="2" t="s">
        <v>341</v>
      </c>
      <c r="P32" s="4">
        <v>46173</v>
      </c>
      <c r="R32">
        <f>Table1[[#This Row],[Penghasilan]]*Table1[[#This Row],[Deemed]]/100</f>
        <v>319000</v>
      </c>
      <c r="S32" t="str">
        <f>VLOOKUP(H32,REF!$A$2:$D$43,4,0)</f>
        <v>TER</v>
      </c>
      <c r="T32" s="12">
        <f t="shared" si="1"/>
        <v>0</v>
      </c>
      <c r="U32">
        <f t="shared" si="2"/>
        <v>0</v>
      </c>
      <c r="V32">
        <f t="shared" si="3"/>
        <v>0</v>
      </c>
      <c r="W32">
        <f t="shared" si="4"/>
        <v>5</v>
      </c>
      <c r="X32">
        <f t="shared" si="5"/>
        <v>0</v>
      </c>
      <c r="Y32">
        <f t="shared" si="6"/>
        <v>0</v>
      </c>
      <c r="Z32">
        <f t="shared" si="7"/>
        <v>0</v>
      </c>
    </row>
    <row r="33" spans="2:26" x14ac:dyDescent="0.2">
      <c r="B33" s="1">
        <v>5</v>
      </c>
      <c r="C33">
        <v>2026</v>
      </c>
      <c r="D33" s="3" t="s">
        <v>220</v>
      </c>
      <c r="E33" s="3" t="s">
        <v>294</v>
      </c>
      <c r="F33" s="3" t="s">
        <v>75</v>
      </c>
      <c r="G33" s="3" t="s">
        <v>45</v>
      </c>
      <c r="H33" s="3" t="s">
        <v>0</v>
      </c>
      <c r="I33">
        <v>336000</v>
      </c>
      <c r="J33">
        <f>VLOOKUP(H33,REF!$A$2:$D$33,3,0)</f>
        <v>100</v>
      </c>
      <c r="K33">
        <f t="shared" si="0"/>
        <v>0</v>
      </c>
      <c r="L33" s="3" t="s">
        <v>146</v>
      </c>
      <c r="M33" s="3" t="s">
        <v>339</v>
      </c>
      <c r="N33" s="4">
        <v>46173</v>
      </c>
      <c r="O33" s="2" t="s">
        <v>341</v>
      </c>
      <c r="P33" s="4">
        <v>46173</v>
      </c>
      <c r="R33">
        <f>Table1[[#This Row],[Penghasilan]]*Table1[[#This Row],[Deemed]]/100</f>
        <v>336000</v>
      </c>
      <c r="S33" t="str">
        <f>VLOOKUP(H33,REF!$A$2:$D$43,4,0)</f>
        <v>TER</v>
      </c>
      <c r="T33" s="12">
        <f t="shared" si="1"/>
        <v>0</v>
      </c>
      <c r="U33">
        <f t="shared" si="2"/>
        <v>0</v>
      </c>
      <c r="V33">
        <f t="shared" si="3"/>
        <v>0</v>
      </c>
      <c r="W33">
        <f t="shared" si="4"/>
        <v>5</v>
      </c>
      <c r="X33">
        <f t="shared" si="5"/>
        <v>0</v>
      </c>
      <c r="Y33">
        <f t="shared" si="6"/>
        <v>0</v>
      </c>
      <c r="Z33">
        <f t="shared" si="7"/>
        <v>0</v>
      </c>
    </row>
    <row r="34" spans="2:26" x14ac:dyDescent="0.2">
      <c r="B34" s="1">
        <v>5</v>
      </c>
      <c r="C34">
        <v>2026</v>
      </c>
      <c r="D34" s="3" t="s">
        <v>221</v>
      </c>
      <c r="E34" s="3" t="s">
        <v>295</v>
      </c>
      <c r="F34" s="3" t="s">
        <v>75</v>
      </c>
      <c r="G34" s="3" t="s">
        <v>45</v>
      </c>
      <c r="H34" s="3" t="s">
        <v>0</v>
      </c>
      <c r="I34">
        <v>370000</v>
      </c>
      <c r="J34">
        <f>VLOOKUP(H34,REF!$A$2:$D$33,3,0)</f>
        <v>100</v>
      </c>
      <c r="K34">
        <f t="shared" si="0"/>
        <v>0</v>
      </c>
      <c r="L34" s="3" t="s">
        <v>146</v>
      </c>
      <c r="M34" s="3" t="s">
        <v>339</v>
      </c>
      <c r="N34" s="4">
        <v>46173</v>
      </c>
      <c r="O34" s="2" t="s">
        <v>341</v>
      </c>
      <c r="P34" s="4">
        <v>46173</v>
      </c>
      <c r="R34">
        <f>Table1[[#This Row],[Penghasilan]]*Table1[[#This Row],[Deemed]]/100</f>
        <v>370000</v>
      </c>
      <c r="S34" t="str">
        <f>VLOOKUP(H34,REF!$A$2:$D$43,4,0)</f>
        <v>TER</v>
      </c>
      <c r="T34" s="12">
        <f t="shared" si="1"/>
        <v>0</v>
      </c>
      <c r="U34">
        <f t="shared" si="2"/>
        <v>0</v>
      </c>
      <c r="V34">
        <f t="shared" si="3"/>
        <v>0</v>
      </c>
      <c r="W34">
        <f t="shared" si="4"/>
        <v>5</v>
      </c>
      <c r="X34">
        <f t="shared" si="5"/>
        <v>0</v>
      </c>
      <c r="Y34">
        <f t="shared" si="6"/>
        <v>0</v>
      </c>
      <c r="Z34">
        <f t="shared" si="7"/>
        <v>0</v>
      </c>
    </row>
    <row r="35" spans="2:26" x14ac:dyDescent="0.2">
      <c r="B35" s="1">
        <v>5</v>
      </c>
      <c r="C35">
        <v>2026</v>
      </c>
      <c r="D35" s="3" t="s">
        <v>222</v>
      </c>
      <c r="E35" s="3" t="s">
        <v>296</v>
      </c>
      <c r="F35" s="3" t="s">
        <v>75</v>
      </c>
      <c r="G35" s="3" t="s">
        <v>45</v>
      </c>
      <c r="H35" s="3" t="s">
        <v>0</v>
      </c>
      <c r="I35">
        <v>153000</v>
      </c>
      <c r="J35">
        <f>VLOOKUP(H35,REF!$A$2:$D$33,3,0)</f>
        <v>100</v>
      </c>
      <c r="K35">
        <f t="shared" si="0"/>
        <v>0</v>
      </c>
      <c r="L35" s="3" t="s">
        <v>146</v>
      </c>
      <c r="M35" s="3" t="s">
        <v>339</v>
      </c>
      <c r="N35" s="4">
        <v>46173</v>
      </c>
      <c r="O35" s="2" t="s">
        <v>341</v>
      </c>
      <c r="P35" s="4">
        <v>46173</v>
      </c>
      <c r="R35">
        <f>Table1[[#This Row],[Penghasilan]]*Table1[[#This Row],[Deemed]]/100</f>
        <v>153000</v>
      </c>
      <c r="S35" t="str">
        <f>VLOOKUP(H35,REF!$A$2:$D$43,4,0)</f>
        <v>TER</v>
      </c>
      <c r="T35" s="12">
        <f t="shared" si="1"/>
        <v>0</v>
      </c>
      <c r="U35">
        <f t="shared" si="2"/>
        <v>0</v>
      </c>
      <c r="V35">
        <f t="shared" si="3"/>
        <v>0</v>
      </c>
      <c r="W35">
        <f t="shared" si="4"/>
        <v>5</v>
      </c>
      <c r="X35">
        <f t="shared" si="5"/>
        <v>0</v>
      </c>
      <c r="Y35">
        <f t="shared" si="6"/>
        <v>0</v>
      </c>
      <c r="Z35">
        <f t="shared" si="7"/>
        <v>0</v>
      </c>
    </row>
    <row r="36" spans="2:26" x14ac:dyDescent="0.2">
      <c r="B36" s="1">
        <v>5</v>
      </c>
      <c r="C36">
        <v>2026</v>
      </c>
      <c r="D36" s="3" t="s">
        <v>223</v>
      </c>
      <c r="E36" s="3" t="s">
        <v>297</v>
      </c>
      <c r="F36" s="3" t="s">
        <v>75</v>
      </c>
      <c r="G36" s="3" t="s">
        <v>45</v>
      </c>
      <c r="H36" s="3" t="s">
        <v>0</v>
      </c>
      <c r="I36">
        <v>455000</v>
      </c>
      <c r="J36">
        <f>VLOOKUP(H36,REF!$A$2:$D$33,3,0)</f>
        <v>100</v>
      </c>
      <c r="K36">
        <f t="shared" si="0"/>
        <v>0</v>
      </c>
      <c r="L36" s="3" t="s">
        <v>146</v>
      </c>
      <c r="M36" s="3" t="s">
        <v>339</v>
      </c>
      <c r="N36" s="4">
        <v>46173</v>
      </c>
      <c r="O36" s="2" t="s">
        <v>341</v>
      </c>
      <c r="P36" s="4">
        <v>46173</v>
      </c>
      <c r="R36">
        <f>Table1[[#This Row],[Penghasilan]]*Table1[[#This Row],[Deemed]]/100</f>
        <v>455000</v>
      </c>
      <c r="S36" t="str">
        <f>VLOOKUP(H36,REF!$A$2:$D$43,4,0)</f>
        <v>TER</v>
      </c>
      <c r="T36" s="12">
        <f t="shared" si="1"/>
        <v>0</v>
      </c>
      <c r="U36">
        <f t="shared" si="2"/>
        <v>0</v>
      </c>
      <c r="V36">
        <f t="shared" si="3"/>
        <v>0</v>
      </c>
      <c r="W36">
        <f t="shared" si="4"/>
        <v>5</v>
      </c>
      <c r="X36">
        <f t="shared" si="5"/>
        <v>0.5</v>
      </c>
      <c r="Y36">
        <f t="shared" si="6"/>
        <v>0</v>
      </c>
      <c r="Z36">
        <f t="shared" si="7"/>
        <v>0</v>
      </c>
    </row>
    <row r="37" spans="2:26" x14ac:dyDescent="0.2">
      <c r="B37" s="1">
        <v>5</v>
      </c>
      <c r="C37">
        <v>2026</v>
      </c>
      <c r="D37" s="3" t="s">
        <v>224</v>
      </c>
      <c r="E37" s="3" t="s">
        <v>298</v>
      </c>
      <c r="F37" s="3" t="s">
        <v>75</v>
      </c>
      <c r="G37" s="3" t="s">
        <v>45</v>
      </c>
      <c r="H37" s="3" t="s">
        <v>0</v>
      </c>
      <c r="I37">
        <v>319000</v>
      </c>
      <c r="J37">
        <f>VLOOKUP(H37,REF!$A$2:$D$33,3,0)</f>
        <v>100</v>
      </c>
      <c r="K37">
        <f t="shared" si="0"/>
        <v>0</v>
      </c>
      <c r="L37" s="3" t="s">
        <v>146</v>
      </c>
      <c r="M37" s="3" t="s">
        <v>339</v>
      </c>
      <c r="N37" s="4">
        <v>46173</v>
      </c>
      <c r="O37" s="2" t="s">
        <v>341</v>
      </c>
      <c r="P37" s="4">
        <v>46173</v>
      </c>
      <c r="R37">
        <f>Table1[[#This Row],[Penghasilan]]*Table1[[#This Row],[Deemed]]/100</f>
        <v>319000</v>
      </c>
      <c r="S37" t="str">
        <f>VLOOKUP(H37,REF!$A$2:$D$43,4,0)</f>
        <v>TER</v>
      </c>
      <c r="T37" s="12">
        <f t="shared" si="1"/>
        <v>0</v>
      </c>
      <c r="U37">
        <f t="shared" si="2"/>
        <v>0</v>
      </c>
      <c r="V37">
        <f t="shared" si="3"/>
        <v>0</v>
      </c>
      <c r="W37">
        <f t="shared" si="4"/>
        <v>5</v>
      </c>
      <c r="X37">
        <f t="shared" si="5"/>
        <v>0</v>
      </c>
      <c r="Y37">
        <f t="shared" si="6"/>
        <v>0</v>
      </c>
      <c r="Z37">
        <f t="shared" si="7"/>
        <v>0</v>
      </c>
    </row>
    <row r="38" spans="2:26" x14ac:dyDescent="0.2">
      <c r="B38" s="1">
        <v>5</v>
      </c>
      <c r="C38">
        <v>2026</v>
      </c>
      <c r="D38" s="3" t="s">
        <v>225</v>
      </c>
      <c r="E38" s="3" t="s">
        <v>299</v>
      </c>
      <c r="F38" s="3" t="s">
        <v>75</v>
      </c>
      <c r="G38" s="3" t="s">
        <v>45</v>
      </c>
      <c r="H38" s="3" t="s">
        <v>0</v>
      </c>
      <c r="I38">
        <v>119000</v>
      </c>
      <c r="J38">
        <f>VLOOKUP(H38,REF!$A$2:$D$33,3,0)</f>
        <v>100</v>
      </c>
      <c r="K38">
        <f t="shared" si="0"/>
        <v>0</v>
      </c>
      <c r="L38" s="3" t="s">
        <v>146</v>
      </c>
      <c r="M38" s="3" t="s">
        <v>339</v>
      </c>
      <c r="N38" s="4">
        <v>46173</v>
      </c>
      <c r="O38" s="2" t="s">
        <v>341</v>
      </c>
      <c r="P38" s="4">
        <v>46173</v>
      </c>
      <c r="R38">
        <f>Table1[[#This Row],[Penghasilan]]*Table1[[#This Row],[Deemed]]/100</f>
        <v>119000</v>
      </c>
      <c r="S38" t="str">
        <f>VLOOKUP(H38,REF!$A$2:$D$43,4,0)</f>
        <v>TER</v>
      </c>
      <c r="T38" s="12">
        <f t="shared" si="1"/>
        <v>0</v>
      </c>
      <c r="U38">
        <f t="shared" si="2"/>
        <v>0</v>
      </c>
      <c r="V38">
        <f t="shared" si="3"/>
        <v>0</v>
      </c>
      <c r="W38">
        <f t="shared" si="4"/>
        <v>5</v>
      </c>
      <c r="X38">
        <f t="shared" si="5"/>
        <v>0</v>
      </c>
      <c r="Y38">
        <f t="shared" si="6"/>
        <v>0</v>
      </c>
      <c r="Z38">
        <f t="shared" si="7"/>
        <v>0</v>
      </c>
    </row>
    <row r="39" spans="2:26" x14ac:dyDescent="0.2">
      <c r="B39" s="1">
        <v>5</v>
      </c>
      <c r="C39">
        <v>2026</v>
      </c>
      <c r="D39" s="3" t="s">
        <v>226</v>
      </c>
      <c r="E39" s="3" t="s">
        <v>300</v>
      </c>
      <c r="F39" s="3" t="s">
        <v>75</v>
      </c>
      <c r="G39" s="3" t="s">
        <v>45</v>
      </c>
      <c r="H39" s="3" t="s">
        <v>0</v>
      </c>
      <c r="I39">
        <v>200000</v>
      </c>
      <c r="J39">
        <f>VLOOKUP(H39,REF!$A$2:$D$33,3,0)</f>
        <v>100</v>
      </c>
      <c r="K39">
        <f t="shared" si="0"/>
        <v>0</v>
      </c>
      <c r="L39" s="3" t="s">
        <v>146</v>
      </c>
      <c r="M39" s="3" t="s">
        <v>339</v>
      </c>
      <c r="N39" s="4">
        <v>46173</v>
      </c>
      <c r="O39" s="2" t="s">
        <v>341</v>
      </c>
      <c r="P39" s="4">
        <v>46173</v>
      </c>
      <c r="R39">
        <f>Table1[[#This Row],[Penghasilan]]*Table1[[#This Row],[Deemed]]/100</f>
        <v>200000</v>
      </c>
      <c r="S39" t="str">
        <f>VLOOKUP(H39,REF!$A$2:$D$43,4,0)</f>
        <v>TER</v>
      </c>
      <c r="T39" s="12">
        <f t="shared" si="1"/>
        <v>0</v>
      </c>
      <c r="U39">
        <f t="shared" si="2"/>
        <v>0</v>
      </c>
      <c r="V39">
        <f t="shared" si="3"/>
        <v>0</v>
      </c>
      <c r="W39">
        <f t="shared" si="4"/>
        <v>5</v>
      </c>
      <c r="X39">
        <f t="shared" si="5"/>
        <v>0</v>
      </c>
      <c r="Y39">
        <f t="shared" si="6"/>
        <v>0</v>
      </c>
      <c r="Z39">
        <f t="shared" si="7"/>
        <v>0</v>
      </c>
    </row>
    <row r="40" spans="2:26" x14ac:dyDescent="0.2">
      <c r="B40" s="1">
        <v>5</v>
      </c>
      <c r="C40">
        <v>2026</v>
      </c>
      <c r="D40" s="3" t="s">
        <v>227</v>
      </c>
      <c r="E40" s="3" t="s">
        <v>301</v>
      </c>
      <c r="F40" s="3" t="s">
        <v>75</v>
      </c>
      <c r="G40" s="3" t="s">
        <v>45</v>
      </c>
      <c r="H40" s="3" t="s">
        <v>0</v>
      </c>
      <c r="I40">
        <v>200000</v>
      </c>
      <c r="J40">
        <f>VLOOKUP(H40,REF!$A$2:$D$33,3,0)</f>
        <v>100</v>
      </c>
      <c r="K40">
        <f t="shared" si="0"/>
        <v>0</v>
      </c>
      <c r="L40" s="3" t="s">
        <v>146</v>
      </c>
      <c r="M40" s="3" t="s">
        <v>339</v>
      </c>
      <c r="N40" s="4">
        <v>46173</v>
      </c>
      <c r="O40" s="2" t="s">
        <v>341</v>
      </c>
      <c r="P40" s="4">
        <v>46173</v>
      </c>
      <c r="R40">
        <f>Table1[[#This Row],[Penghasilan]]*Table1[[#This Row],[Deemed]]/100</f>
        <v>200000</v>
      </c>
      <c r="S40" t="str">
        <f>VLOOKUP(H40,REF!$A$2:$D$43,4,0)</f>
        <v>TER</v>
      </c>
      <c r="T40" s="12">
        <f t="shared" si="1"/>
        <v>0</v>
      </c>
      <c r="U40">
        <f t="shared" si="2"/>
        <v>0</v>
      </c>
      <c r="V40">
        <f t="shared" si="3"/>
        <v>0</v>
      </c>
      <c r="W40">
        <f t="shared" si="4"/>
        <v>5</v>
      </c>
      <c r="X40">
        <f t="shared" si="5"/>
        <v>0</v>
      </c>
      <c r="Y40">
        <f t="shared" si="6"/>
        <v>0</v>
      </c>
      <c r="Z40">
        <f t="shared" si="7"/>
        <v>0</v>
      </c>
    </row>
    <row r="41" spans="2:26" x14ac:dyDescent="0.2">
      <c r="B41" s="1">
        <v>5</v>
      </c>
      <c r="C41">
        <v>2026</v>
      </c>
      <c r="D41" s="3" t="s">
        <v>228</v>
      </c>
      <c r="E41" s="3" t="s">
        <v>302</v>
      </c>
      <c r="F41" s="3" t="s">
        <v>75</v>
      </c>
      <c r="G41" s="3" t="s">
        <v>45</v>
      </c>
      <c r="H41" s="3" t="s">
        <v>0</v>
      </c>
      <c r="I41">
        <v>3714464</v>
      </c>
      <c r="J41">
        <f>VLOOKUP(H41,REF!$A$2:$D$33,3,0)</f>
        <v>100</v>
      </c>
      <c r="K41">
        <f t="shared" si="0"/>
        <v>0</v>
      </c>
      <c r="L41" s="3" t="s">
        <v>146</v>
      </c>
      <c r="M41" s="3" t="s">
        <v>339</v>
      </c>
      <c r="N41" s="4">
        <v>46173</v>
      </c>
      <c r="O41" s="2" t="s">
        <v>341</v>
      </c>
      <c r="P41" s="4">
        <v>46173</v>
      </c>
      <c r="R41">
        <f>Table1[[#This Row],[Penghasilan]]*Table1[[#This Row],[Deemed]]/100</f>
        <v>3714464</v>
      </c>
      <c r="S41" t="str">
        <f>VLOOKUP(H41,REF!$A$2:$D$43,4,0)</f>
        <v>TER</v>
      </c>
      <c r="T41" s="12">
        <f t="shared" si="1"/>
        <v>0</v>
      </c>
      <c r="U41">
        <f t="shared" si="2"/>
        <v>0</v>
      </c>
      <c r="V41">
        <f t="shared" si="3"/>
        <v>0</v>
      </c>
      <c r="W41">
        <f t="shared" si="4"/>
        <v>5</v>
      </c>
      <c r="X41">
        <f t="shared" si="5"/>
        <v>0</v>
      </c>
      <c r="Y41">
        <f t="shared" si="6"/>
        <v>0</v>
      </c>
      <c r="Z41">
        <f t="shared" si="7"/>
        <v>0</v>
      </c>
    </row>
    <row r="42" spans="2:26" x14ac:dyDescent="0.2">
      <c r="B42" s="1">
        <v>5</v>
      </c>
      <c r="C42">
        <v>2026</v>
      </c>
      <c r="D42" s="3" t="s">
        <v>229</v>
      </c>
      <c r="E42" s="3" t="s">
        <v>303</v>
      </c>
      <c r="F42" s="3" t="s">
        <v>75</v>
      </c>
      <c r="G42" s="3" t="s">
        <v>45</v>
      </c>
      <c r="H42" s="3" t="s">
        <v>0</v>
      </c>
      <c r="I42">
        <v>5107388</v>
      </c>
      <c r="J42">
        <f>VLOOKUP(H42,REF!$A$2:$D$33,3,0)</f>
        <v>100</v>
      </c>
      <c r="K42">
        <f t="shared" si="0"/>
        <v>0</v>
      </c>
      <c r="L42" s="3" t="s">
        <v>146</v>
      </c>
      <c r="M42" s="3" t="s">
        <v>339</v>
      </c>
      <c r="N42" s="4">
        <v>46173</v>
      </c>
      <c r="O42" s="2" t="s">
        <v>341</v>
      </c>
      <c r="P42" s="4">
        <v>46173</v>
      </c>
      <c r="R42">
        <f>Table1[[#This Row],[Penghasilan]]*Table1[[#This Row],[Deemed]]/100</f>
        <v>5107388</v>
      </c>
      <c r="S42" t="str">
        <f>VLOOKUP(H42,REF!$A$2:$D$43,4,0)</f>
        <v>TER</v>
      </c>
      <c r="T42" s="12">
        <f t="shared" si="1"/>
        <v>0</v>
      </c>
      <c r="U42">
        <f t="shared" si="2"/>
        <v>0</v>
      </c>
      <c r="V42">
        <f t="shared" si="3"/>
        <v>0</v>
      </c>
      <c r="W42">
        <f t="shared" si="4"/>
        <v>5</v>
      </c>
      <c r="X42">
        <f t="shared" si="5"/>
        <v>0</v>
      </c>
      <c r="Y42">
        <f t="shared" si="6"/>
        <v>0</v>
      </c>
      <c r="Z42">
        <f t="shared" si="7"/>
        <v>0</v>
      </c>
    </row>
    <row r="43" spans="2:26" x14ac:dyDescent="0.2">
      <c r="B43" s="1">
        <v>5</v>
      </c>
      <c r="C43">
        <v>2026</v>
      </c>
      <c r="D43" s="3" t="s">
        <v>230</v>
      </c>
      <c r="E43" s="3" t="s">
        <v>304</v>
      </c>
      <c r="F43" s="3" t="s">
        <v>75</v>
      </c>
      <c r="G43" s="3" t="s">
        <v>45</v>
      </c>
      <c r="H43" s="3" t="s">
        <v>0</v>
      </c>
      <c r="I43">
        <v>928616</v>
      </c>
      <c r="J43">
        <f>VLOOKUP(H43,REF!$A$2:$D$33,3,0)</f>
        <v>100</v>
      </c>
      <c r="K43">
        <f t="shared" si="0"/>
        <v>0</v>
      </c>
      <c r="L43" s="3" t="s">
        <v>146</v>
      </c>
      <c r="M43" s="3" t="s">
        <v>339</v>
      </c>
      <c r="N43" s="4">
        <v>46173</v>
      </c>
      <c r="O43" s="2" t="s">
        <v>341</v>
      </c>
      <c r="P43" s="4">
        <v>46173</v>
      </c>
      <c r="R43">
        <f>Table1[[#This Row],[Penghasilan]]*Table1[[#This Row],[Deemed]]/100</f>
        <v>928616</v>
      </c>
      <c r="S43" t="str">
        <f>VLOOKUP(H43,REF!$A$2:$D$43,4,0)</f>
        <v>TER</v>
      </c>
      <c r="T43" s="12">
        <f t="shared" si="1"/>
        <v>0</v>
      </c>
      <c r="U43">
        <f t="shared" si="2"/>
        <v>0</v>
      </c>
      <c r="V43">
        <f t="shared" si="3"/>
        <v>0</v>
      </c>
      <c r="W43">
        <f t="shared" si="4"/>
        <v>5</v>
      </c>
      <c r="X43">
        <f t="shared" si="5"/>
        <v>0.5</v>
      </c>
      <c r="Y43">
        <f t="shared" si="6"/>
        <v>0</v>
      </c>
      <c r="Z43">
        <f t="shared" si="7"/>
        <v>0</v>
      </c>
    </row>
    <row r="44" spans="2:26" x14ac:dyDescent="0.2">
      <c r="B44" s="1">
        <v>5</v>
      </c>
      <c r="C44">
        <v>2026</v>
      </c>
      <c r="D44" s="3" t="s">
        <v>231</v>
      </c>
      <c r="E44" s="3" t="s">
        <v>305</v>
      </c>
      <c r="F44" s="3" t="s">
        <v>75</v>
      </c>
      <c r="G44" s="3" t="s">
        <v>45</v>
      </c>
      <c r="H44" s="3" t="s">
        <v>0</v>
      </c>
      <c r="I44">
        <v>232154</v>
      </c>
      <c r="J44">
        <f>VLOOKUP(H44,REF!$A$2:$D$33,3,0)</f>
        <v>100</v>
      </c>
      <c r="K44">
        <f t="shared" si="0"/>
        <v>0</v>
      </c>
      <c r="L44" s="3" t="s">
        <v>146</v>
      </c>
      <c r="M44" s="3" t="s">
        <v>339</v>
      </c>
      <c r="N44" s="4">
        <v>46173</v>
      </c>
      <c r="O44" s="2" t="s">
        <v>341</v>
      </c>
      <c r="P44" s="4">
        <v>46173</v>
      </c>
      <c r="R44">
        <f>Table1[[#This Row],[Penghasilan]]*Table1[[#This Row],[Deemed]]/100</f>
        <v>232154</v>
      </c>
      <c r="S44" t="str">
        <f>VLOOKUP(H44,REF!$A$2:$D$43,4,0)</f>
        <v>TER</v>
      </c>
      <c r="T44" s="12">
        <f t="shared" si="1"/>
        <v>0</v>
      </c>
      <c r="U44">
        <f t="shared" si="2"/>
        <v>0</v>
      </c>
      <c r="V44">
        <f t="shared" si="3"/>
        <v>0</v>
      </c>
      <c r="W44">
        <f t="shared" si="4"/>
        <v>5</v>
      </c>
      <c r="X44">
        <f t="shared" si="5"/>
        <v>0</v>
      </c>
      <c r="Y44">
        <f t="shared" si="6"/>
        <v>0</v>
      </c>
      <c r="Z44">
        <f t="shared" si="7"/>
        <v>0</v>
      </c>
    </row>
    <row r="45" spans="2:26" x14ac:dyDescent="0.2">
      <c r="B45" s="1">
        <v>5</v>
      </c>
      <c r="C45">
        <v>2026</v>
      </c>
      <c r="D45" s="3" t="s">
        <v>232</v>
      </c>
      <c r="E45" s="3" t="s">
        <v>306</v>
      </c>
      <c r="F45" s="3" t="s">
        <v>75</v>
      </c>
      <c r="G45" s="3" t="s">
        <v>45</v>
      </c>
      <c r="H45" s="3" t="s">
        <v>0</v>
      </c>
      <c r="I45">
        <v>232154</v>
      </c>
      <c r="J45">
        <f>VLOOKUP(H45,REF!$A$2:$D$33,3,0)</f>
        <v>100</v>
      </c>
      <c r="K45">
        <f t="shared" si="0"/>
        <v>0</v>
      </c>
      <c r="L45" s="3" t="s">
        <v>146</v>
      </c>
      <c r="M45" s="3" t="s">
        <v>339</v>
      </c>
      <c r="N45" s="4">
        <v>46173</v>
      </c>
      <c r="O45" s="2" t="s">
        <v>341</v>
      </c>
      <c r="P45" s="4">
        <v>46173</v>
      </c>
      <c r="R45">
        <f>Table1[[#This Row],[Penghasilan]]*Table1[[#This Row],[Deemed]]/100</f>
        <v>232154</v>
      </c>
      <c r="S45" t="str">
        <f>VLOOKUP(H45,REF!$A$2:$D$43,4,0)</f>
        <v>TER</v>
      </c>
      <c r="T45" s="12">
        <f t="shared" si="1"/>
        <v>0</v>
      </c>
      <c r="U45">
        <f t="shared" si="2"/>
        <v>0</v>
      </c>
      <c r="V45">
        <f t="shared" si="3"/>
        <v>0</v>
      </c>
      <c r="W45">
        <f t="shared" si="4"/>
        <v>5</v>
      </c>
      <c r="X45">
        <f t="shared" si="5"/>
        <v>0</v>
      </c>
      <c r="Y45">
        <f t="shared" si="6"/>
        <v>0</v>
      </c>
      <c r="Z45">
        <f t="shared" si="7"/>
        <v>0</v>
      </c>
    </row>
    <row r="46" spans="2:26" x14ac:dyDescent="0.2">
      <c r="B46" s="1">
        <v>5</v>
      </c>
      <c r="C46">
        <v>2026</v>
      </c>
      <c r="D46" s="3" t="s">
        <v>233</v>
      </c>
      <c r="E46" s="3" t="s">
        <v>307</v>
      </c>
      <c r="F46" s="3" t="s">
        <v>75</v>
      </c>
      <c r="G46" s="3" t="s">
        <v>45</v>
      </c>
      <c r="H46" s="3" t="s">
        <v>0</v>
      </c>
      <c r="I46">
        <v>4178772</v>
      </c>
      <c r="J46">
        <f>VLOOKUP(H46,REF!$A$2:$D$33,3,0)</f>
        <v>100</v>
      </c>
      <c r="K46">
        <f t="shared" si="0"/>
        <v>0</v>
      </c>
      <c r="L46" s="3" t="s">
        <v>146</v>
      </c>
      <c r="M46" s="3" t="s">
        <v>339</v>
      </c>
      <c r="N46" s="4">
        <v>46173</v>
      </c>
      <c r="O46" s="2" t="s">
        <v>341</v>
      </c>
      <c r="P46" s="4">
        <v>46173</v>
      </c>
      <c r="R46">
        <f>Table1[[#This Row],[Penghasilan]]*Table1[[#This Row],[Deemed]]/100</f>
        <v>4178772</v>
      </c>
      <c r="S46" t="str">
        <f>VLOOKUP(H46,REF!$A$2:$D$43,4,0)</f>
        <v>TER</v>
      </c>
      <c r="T46" s="12">
        <f t="shared" si="1"/>
        <v>0</v>
      </c>
      <c r="U46">
        <f t="shared" si="2"/>
        <v>0</v>
      </c>
      <c r="V46">
        <f t="shared" si="3"/>
        <v>0</v>
      </c>
      <c r="W46">
        <f t="shared" si="4"/>
        <v>5</v>
      </c>
      <c r="X46">
        <f t="shared" si="5"/>
        <v>0</v>
      </c>
      <c r="Y46">
        <f t="shared" si="6"/>
        <v>0</v>
      </c>
      <c r="Z46">
        <f t="shared" si="7"/>
        <v>0</v>
      </c>
    </row>
    <row r="47" spans="2:26" x14ac:dyDescent="0.2">
      <c r="B47" s="1">
        <v>5</v>
      </c>
      <c r="C47">
        <v>2026</v>
      </c>
      <c r="D47" s="3" t="s">
        <v>234</v>
      </c>
      <c r="E47" s="3" t="s">
        <v>308</v>
      </c>
      <c r="F47" s="3" t="s">
        <v>75</v>
      </c>
      <c r="G47" s="3" t="s">
        <v>45</v>
      </c>
      <c r="H47" s="3" t="s">
        <v>0</v>
      </c>
      <c r="I47">
        <v>2785848</v>
      </c>
      <c r="J47">
        <f>VLOOKUP(H47,REF!$A$2:$D$33,3,0)</f>
        <v>100</v>
      </c>
      <c r="K47">
        <f t="shared" si="0"/>
        <v>0</v>
      </c>
      <c r="L47" s="3" t="s">
        <v>146</v>
      </c>
      <c r="M47" s="3" t="s">
        <v>339</v>
      </c>
      <c r="N47" s="4">
        <v>46173</v>
      </c>
      <c r="O47" s="2" t="s">
        <v>341</v>
      </c>
      <c r="P47" s="4">
        <v>46173</v>
      </c>
      <c r="R47">
        <f>Table1[[#This Row],[Penghasilan]]*Table1[[#This Row],[Deemed]]/100</f>
        <v>2785848</v>
      </c>
      <c r="S47" t="str">
        <f>VLOOKUP(H47,REF!$A$2:$D$43,4,0)</f>
        <v>TER</v>
      </c>
      <c r="T47" s="12">
        <f t="shared" si="1"/>
        <v>0</v>
      </c>
      <c r="U47">
        <f t="shared" si="2"/>
        <v>0</v>
      </c>
      <c r="V47">
        <f t="shared" si="3"/>
        <v>0</v>
      </c>
      <c r="W47">
        <f t="shared" si="4"/>
        <v>5</v>
      </c>
      <c r="X47">
        <f t="shared" si="5"/>
        <v>0</v>
      </c>
      <c r="Y47">
        <f t="shared" si="6"/>
        <v>0</v>
      </c>
      <c r="Z47">
        <f t="shared" si="7"/>
        <v>0</v>
      </c>
    </row>
    <row r="48" spans="2:26" x14ac:dyDescent="0.2">
      <c r="B48" s="1">
        <v>5</v>
      </c>
      <c r="C48">
        <v>2026</v>
      </c>
      <c r="D48" s="3" t="s">
        <v>235</v>
      </c>
      <c r="E48" s="3" t="s">
        <v>309</v>
      </c>
      <c r="F48" s="3" t="s">
        <v>75</v>
      </c>
      <c r="G48" s="3" t="s">
        <v>45</v>
      </c>
      <c r="H48" s="3" t="s">
        <v>0</v>
      </c>
      <c r="I48">
        <v>3250156</v>
      </c>
      <c r="J48">
        <f>VLOOKUP(H48,REF!$A$2:$D$33,3,0)</f>
        <v>100</v>
      </c>
      <c r="K48">
        <f t="shared" si="0"/>
        <v>0</v>
      </c>
      <c r="L48" s="3" t="s">
        <v>146</v>
      </c>
      <c r="M48" s="3" t="s">
        <v>339</v>
      </c>
      <c r="N48" s="4">
        <v>46173</v>
      </c>
      <c r="O48" s="2" t="s">
        <v>341</v>
      </c>
      <c r="P48" s="4">
        <v>46173</v>
      </c>
      <c r="R48">
        <f>Table1[[#This Row],[Penghasilan]]*Table1[[#This Row],[Deemed]]/100</f>
        <v>3250156</v>
      </c>
      <c r="S48" t="str">
        <f>VLOOKUP(H48,REF!$A$2:$D$43,4,0)</f>
        <v>TER</v>
      </c>
      <c r="T48" s="12">
        <f t="shared" si="1"/>
        <v>0</v>
      </c>
      <c r="U48">
        <f t="shared" si="2"/>
        <v>0</v>
      </c>
      <c r="V48">
        <f t="shared" si="3"/>
        <v>0</v>
      </c>
      <c r="W48">
        <f t="shared" si="4"/>
        <v>5</v>
      </c>
      <c r="X48">
        <f t="shared" si="5"/>
        <v>0</v>
      </c>
      <c r="Y48">
        <f t="shared" si="6"/>
        <v>0</v>
      </c>
      <c r="Z48">
        <f t="shared" si="7"/>
        <v>0</v>
      </c>
    </row>
    <row r="49" spans="2:26" x14ac:dyDescent="0.2">
      <c r="B49" s="1">
        <v>5</v>
      </c>
      <c r="C49">
        <v>2026</v>
      </c>
      <c r="D49" s="3" t="s">
        <v>236</v>
      </c>
      <c r="E49" s="3" t="s">
        <v>310</v>
      </c>
      <c r="F49" s="3" t="s">
        <v>75</v>
      </c>
      <c r="G49" s="3" t="s">
        <v>45</v>
      </c>
      <c r="H49" s="3" t="s">
        <v>0</v>
      </c>
      <c r="I49">
        <v>4410926</v>
      </c>
      <c r="J49">
        <f>VLOOKUP(H49,REF!$A$2:$D$33,3,0)</f>
        <v>100</v>
      </c>
      <c r="K49">
        <f t="shared" si="0"/>
        <v>0</v>
      </c>
      <c r="L49" s="3" t="s">
        <v>146</v>
      </c>
      <c r="M49" s="3" t="s">
        <v>339</v>
      </c>
      <c r="N49" s="4">
        <v>46173</v>
      </c>
      <c r="O49" s="2" t="s">
        <v>341</v>
      </c>
      <c r="P49" s="4">
        <v>46173</v>
      </c>
      <c r="R49">
        <f>Table1[[#This Row],[Penghasilan]]*Table1[[#This Row],[Deemed]]/100</f>
        <v>4410926</v>
      </c>
      <c r="S49" t="str">
        <f>VLOOKUP(H49,REF!$A$2:$D$43,4,0)</f>
        <v>TER</v>
      </c>
      <c r="T49" s="12">
        <f t="shared" si="1"/>
        <v>0</v>
      </c>
      <c r="U49">
        <f t="shared" si="2"/>
        <v>0</v>
      </c>
      <c r="V49">
        <f t="shared" si="3"/>
        <v>0</v>
      </c>
      <c r="W49">
        <f t="shared" si="4"/>
        <v>5</v>
      </c>
      <c r="X49">
        <f t="shared" si="5"/>
        <v>0</v>
      </c>
      <c r="Y49">
        <f t="shared" si="6"/>
        <v>0</v>
      </c>
      <c r="Z49">
        <f t="shared" si="7"/>
        <v>0</v>
      </c>
    </row>
    <row r="50" spans="2:26" x14ac:dyDescent="0.2">
      <c r="B50" s="1">
        <v>5</v>
      </c>
      <c r="C50">
        <v>2026</v>
      </c>
      <c r="D50" s="3" t="s">
        <v>237</v>
      </c>
      <c r="E50" s="3" t="s">
        <v>311</v>
      </c>
      <c r="F50" s="3" t="s">
        <v>75</v>
      </c>
      <c r="G50" s="3" t="s">
        <v>45</v>
      </c>
      <c r="H50" s="3" t="s">
        <v>0</v>
      </c>
      <c r="I50">
        <v>3946618</v>
      </c>
      <c r="J50">
        <f>VLOOKUP(H50,REF!$A$2:$D$33,3,0)</f>
        <v>100</v>
      </c>
      <c r="K50">
        <f t="shared" si="0"/>
        <v>0</v>
      </c>
      <c r="L50" s="3" t="s">
        <v>146</v>
      </c>
      <c r="M50" s="3" t="s">
        <v>339</v>
      </c>
      <c r="N50" s="4">
        <v>46173</v>
      </c>
      <c r="O50" s="2" t="s">
        <v>341</v>
      </c>
      <c r="P50" s="4">
        <v>46173</v>
      </c>
      <c r="R50">
        <f>Table1[[#This Row],[Penghasilan]]*Table1[[#This Row],[Deemed]]/100</f>
        <v>3946618</v>
      </c>
      <c r="S50" t="str">
        <f>VLOOKUP(H50,REF!$A$2:$D$43,4,0)</f>
        <v>TER</v>
      </c>
      <c r="T50" s="12">
        <f t="shared" si="1"/>
        <v>0</v>
      </c>
      <c r="U50">
        <f t="shared" si="2"/>
        <v>0</v>
      </c>
      <c r="V50">
        <f t="shared" si="3"/>
        <v>0</v>
      </c>
      <c r="W50">
        <f t="shared" si="4"/>
        <v>5</v>
      </c>
      <c r="X50">
        <f t="shared" si="5"/>
        <v>0</v>
      </c>
      <c r="Y50">
        <f t="shared" si="6"/>
        <v>0</v>
      </c>
      <c r="Z50">
        <f t="shared" si="7"/>
        <v>0</v>
      </c>
    </row>
    <row r="51" spans="2:26" x14ac:dyDescent="0.2">
      <c r="B51" s="1">
        <v>5</v>
      </c>
      <c r="C51">
        <v>2026</v>
      </c>
      <c r="D51" s="3" t="s">
        <v>238</v>
      </c>
      <c r="E51" s="3" t="s">
        <v>312</v>
      </c>
      <c r="F51" s="3" t="s">
        <v>75</v>
      </c>
      <c r="G51" s="3" t="s">
        <v>45</v>
      </c>
      <c r="H51" s="3" t="s">
        <v>0</v>
      </c>
      <c r="I51">
        <v>4643080</v>
      </c>
      <c r="J51">
        <f>VLOOKUP(H51,REF!$A$2:$D$33,3,0)</f>
        <v>100</v>
      </c>
      <c r="K51">
        <f t="shared" si="0"/>
        <v>0</v>
      </c>
      <c r="L51" s="3" t="s">
        <v>146</v>
      </c>
      <c r="M51" s="3" t="s">
        <v>339</v>
      </c>
      <c r="N51" s="4">
        <v>46173</v>
      </c>
      <c r="O51" s="2" t="s">
        <v>341</v>
      </c>
      <c r="P51" s="4">
        <v>46173</v>
      </c>
      <c r="R51">
        <f>Table1[[#This Row],[Penghasilan]]*Table1[[#This Row],[Deemed]]/100</f>
        <v>4643080</v>
      </c>
      <c r="S51" t="str">
        <f>VLOOKUP(H51,REF!$A$2:$D$43,4,0)</f>
        <v>TER</v>
      </c>
      <c r="T51" s="12">
        <f t="shared" si="1"/>
        <v>0</v>
      </c>
      <c r="U51">
        <f t="shared" si="2"/>
        <v>0</v>
      </c>
      <c r="V51">
        <f t="shared" si="3"/>
        <v>0</v>
      </c>
      <c r="W51">
        <f t="shared" si="4"/>
        <v>5</v>
      </c>
      <c r="X51">
        <f t="shared" si="5"/>
        <v>0</v>
      </c>
      <c r="Y51">
        <f t="shared" si="6"/>
        <v>0</v>
      </c>
      <c r="Z51">
        <f t="shared" si="7"/>
        <v>0</v>
      </c>
    </row>
    <row r="52" spans="2:26" x14ac:dyDescent="0.2">
      <c r="B52" s="1">
        <v>5</v>
      </c>
      <c r="C52">
        <v>2026</v>
      </c>
      <c r="D52" s="3" t="s">
        <v>239</v>
      </c>
      <c r="E52" s="3" t="s">
        <v>313</v>
      </c>
      <c r="F52" s="3" t="s">
        <v>75</v>
      </c>
      <c r="G52" s="3" t="s">
        <v>45</v>
      </c>
      <c r="H52" s="3" t="s">
        <v>0</v>
      </c>
      <c r="I52">
        <v>2321540</v>
      </c>
      <c r="J52">
        <f>VLOOKUP(H52,REF!$A$2:$D$33,3,0)</f>
        <v>100</v>
      </c>
      <c r="K52">
        <f t="shared" si="0"/>
        <v>0</v>
      </c>
      <c r="L52" s="3" t="s">
        <v>146</v>
      </c>
      <c r="M52" s="3" t="s">
        <v>339</v>
      </c>
      <c r="N52" s="4">
        <v>46173</v>
      </c>
      <c r="O52" s="2" t="s">
        <v>341</v>
      </c>
      <c r="P52" s="4">
        <v>46173</v>
      </c>
      <c r="R52">
        <f>Table1[[#This Row],[Penghasilan]]*Table1[[#This Row],[Deemed]]/100</f>
        <v>2321540</v>
      </c>
      <c r="S52" t="str">
        <f>VLOOKUP(H52,REF!$A$2:$D$43,4,0)</f>
        <v>TER</v>
      </c>
      <c r="T52" s="12">
        <f t="shared" si="1"/>
        <v>0</v>
      </c>
      <c r="U52">
        <f t="shared" si="2"/>
        <v>0</v>
      </c>
      <c r="V52">
        <f t="shared" si="3"/>
        <v>0</v>
      </c>
      <c r="W52">
        <f t="shared" si="4"/>
        <v>5</v>
      </c>
      <c r="X52">
        <f t="shared" si="5"/>
        <v>0.5</v>
      </c>
      <c r="Y52">
        <f t="shared" si="6"/>
        <v>0</v>
      </c>
      <c r="Z52">
        <f t="shared" si="7"/>
        <v>0</v>
      </c>
    </row>
    <row r="53" spans="2:26" x14ac:dyDescent="0.2">
      <c r="B53" s="1">
        <v>5</v>
      </c>
      <c r="C53">
        <v>2026</v>
      </c>
      <c r="D53" s="3" t="s">
        <v>240</v>
      </c>
      <c r="E53" s="3" t="s">
        <v>314</v>
      </c>
      <c r="F53" s="3" t="s">
        <v>75</v>
      </c>
      <c r="G53" s="3" t="s">
        <v>45</v>
      </c>
      <c r="H53" s="3" t="s">
        <v>0</v>
      </c>
      <c r="I53">
        <v>464308</v>
      </c>
      <c r="J53">
        <f>VLOOKUP(H53,REF!$A$2:$D$33,3,0)</f>
        <v>100</v>
      </c>
      <c r="K53">
        <f t="shared" si="0"/>
        <v>0</v>
      </c>
      <c r="L53" s="3" t="s">
        <v>146</v>
      </c>
      <c r="M53" s="3" t="s">
        <v>339</v>
      </c>
      <c r="N53" s="4">
        <v>46173</v>
      </c>
      <c r="O53" s="2" t="s">
        <v>341</v>
      </c>
      <c r="P53" s="4">
        <v>46173</v>
      </c>
      <c r="R53">
        <f>Table1[[#This Row],[Penghasilan]]*Table1[[#This Row],[Deemed]]/100</f>
        <v>464308</v>
      </c>
      <c r="S53" t="str">
        <f>VLOOKUP(H53,REF!$A$2:$D$43,4,0)</f>
        <v>TER</v>
      </c>
      <c r="T53" s="12">
        <f t="shared" si="1"/>
        <v>0</v>
      </c>
      <c r="U53">
        <f t="shared" si="2"/>
        <v>0</v>
      </c>
      <c r="V53">
        <f t="shared" si="3"/>
        <v>0</v>
      </c>
      <c r="W53">
        <f t="shared" si="4"/>
        <v>5</v>
      </c>
      <c r="X53">
        <f t="shared" si="5"/>
        <v>0.5</v>
      </c>
      <c r="Y53">
        <f t="shared" si="6"/>
        <v>0</v>
      </c>
      <c r="Z53">
        <f t="shared" si="7"/>
        <v>0</v>
      </c>
    </row>
    <row r="54" spans="2:26" x14ac:dyDescent="0.2">
      <c r="B54" s="1">
        <v>5</v>
      </c>
      <c r="C54">
        <v>2026</v>
      </c>
      <c r="D54" s="3" t="s">
        <v>241</v>
      </c>
      <c r="E54" s="3" t="s">
        <v>315</v>
      </c>
      <c r="F54" s="3" t="s">
        <v>75</v>
      </c>
      <c r="G54" s="3" t="s">
        <v>45</v>
      </c>
      <c r="H54" s="3" t="s">
        <v>0</v>
      </c>
      <c r="I54">
        <v>4178772</v>
      </c>
      <c r="J54">
        <f>VLOOKUP(H54,REF!$A$2:$D$33,3,0)</f>
        <v>100</v>
      </c>
      <c r="K54">
        <f t="shared" si="0"/>
        <v>0</v>
      </c>
      <c r="L54" s="3" t="s">
        <v>146</v>
      </c>
      <c r="M54" s="3" t="s">
        <v>339</v>
      </c>
      <c r="N54" s="4">
        <v>46173</v>
      </c>
      <c r="O54" s="2" t="s">
        <v>341</v>
      </c>
      <c r="P54" s="4">
        <v>46173</v>
      </c>
      <c r="R54">
        <f>Table1[[#This Row],[Penghasilan]]*Table1[[#This Row],[Deemed]]/100</f>
        <v>4178772</v>
      </c>
      <c r="S54" t="str">
        <f>VLOOKUP(H54,REF!$A$2:$D$43,4,0)</f>
        <v>TER</v>
      </c>
      <c r="T54" s="12">
        <f t="shared" si="1"/>
        <v>0</v>
      </c>
      <c r="U54">
        <f t="shared" si="2"/>
        <v>0</v>
      </c>
      <c r="V54">
        <f t="shared" si="3"/>
        <v>0</v>
      </c>
      <c r="W54">
        <f t="shared" si="4"/>
        <v>5</v>
      </c>
      <c r="X54">
        <f t="shared" si="5"/>
        <v>0</v>
      </c>
      <c r="Y54">
        <f t="shared" si="6"/>
        <v>0</v>
      </c>
      <c r="Z54">
        <f t="shared" si="7"/>
        <v>0</v>
      </c>
    </row>
    <row r="55" spans="2:26" x14ac:dyDescent="0.2">
      <c r="B55" s="1">
        <v>5</v>
      </c>
      <c r="C55">
        <v>2026</v>
      </c>
      <c r="D55" s="3" t="s">
        <v>242</v>
      </c>
      <c r="E55" s="3" t="s">
        <v>316</v>
      </c>
      <c r="F55" s="3" t="s">
        <v>75</v>
      </c>
      <c r="G55" s="3" t="s">
        <v>45</v>
      </c>
      <c r="H55" s="3" t="s">
        <v>0</v>
      </c>
      <c r="I55">
        <v>4643080</v>
      </c>
      <c r="J55">
        <f>VLOOKUP(H55,REF!$A$2:$D$33,3,0)</f>
        <v>100</v>
      </c>
      <c r="K55">
        <f t="shared" si="0"/>
        <v>0</v>
      </c>
      <c r="L55" s="3" t="s">
        <v>146</v>
      </c>
      <c r="M55" s="3" t="s">
        <v>339</v>
      </c>
      <c r="N55" s="4">
        <v>46173</v>
      </c>
      <c r="O55" s="2" t="s">
        <v>341</v>
      </c>
      <c r="P55" s="4">
        <v>46173</v>
      </c>
      <c r="R55">
        <f>Table1[[#This Row],[Penghasilan]]*Table1[[#This Row],[Deemed]]/100</f>
        <v>4643080</v>
      </c>
      <c r="S55" t="str">
        <f>VLOOKUP(H55,REF!$A$2:$D$43,4,0)</f>
        <v>TER</v>
      </c>
      <c r="T55" s="12">
        <f t="shared" si="1"/>
        <v>0</v>
      </c>
      <c r="U55">
        <f t="shared" si="2"/>
        <v>0</v>
      </c>
      <c r="V55">
        <f t="shared" si="3"/>
        <v>0</v>
      </c>
      <c r="W55">
        <f t="shared" si="4"/>
        <v>5</v>
      </c>
      <c r="X55">
        <f t="shared" si="5"/>
        <v>0</v>
      </c>
      <c r="Y55">
        <f t="shared" si="6"/>
        <v>0</v>
      </c>
      <c r="Z55">
        <f t="shared" si="7"/>
        <v>0</v>
      </c>
    </row>
    <row r="56" spans="2:26" x14ac:dyDescent="0.2">
      <c r="B56" s="1">
        <v>5</v>
      </c>
      <c r="C56">
        <v>2026</v>
      </c>
      <c r="D56" s="3" t="s">
        <v>243</v>
      </c>
      <c r="E56" s="3" t="s">
        <v>317</v>
      </c>
      <c r="F56" s="3" t="s">
        <v>75</v>
      </c>
      <c r="G56" s="3" t="s">
        <v>45</v>
      </c>
      <c r="H56" s="3" t="s">
        <v>0</v>
      </c>
      <c r="I56">
        <v>1392924</v>
      </c>
      <c r="J56">
        <f>VLOOKUP(H56,REF!$A$2:$D$33,3,0)</f>
        <v>100</v>
      </c>
      <c r="K56">
        <f t="shared" si="0"/>
        <v>0</v>
      </c>
      <c r="L56" s="3" t="s">
        <v>146</v>
      </c>
      <c r="M56" s="3" t="s">
        <v>339</v>
      </c>
      <c r="N56" s="4">
        <v>46173</v>
      </c>
      <c r="O56" s="2" t="s">
        <v>341</v>
      </c>
      <c r="P56" s="4">
        <v>46173</v>
      </c>
      <c r="R56">
        <f>Table1[[#This Row],[Penghasilan]]*Table1[[#This Row],[Deemed]]/100</f>
        <v>1392924</v>
      </c>
      <c r="S56" t="str">
        <f>VLOOKUP(H56,REF!$A$2:$D$43,4,0)</f>
        <v>TER</v>
      </c>
      <c r="T56" s="12">
        <f t="shared" si="1"/>
        <v>0</v>
      </c>
      <c r="U56">
        <f t="shared" si="2"/>
        <v>0</v>
      </c>
      <c r="V56">
        <f t="shared" si="3"/>
        <v>0</v>
      </c>
      <c r="W56">
        <f t="shared" si="4"/>
        <v>5</v>
      </c>
      <c r="X56">
        <f t="shared" si="5"/>
        <v>0.5</v>
      </c>
      <c r="Y56">
        <f t="shared" si="6"/>
        <v>0</v>
      </c>
      <c r="Z56">
        <f t="shared" si="7"/>
        <v>0</v>
      </c>
    </row>
    <row r="57" spans="2:26" x14ac:dyDescent="0.2">
      <c r="B57" s="1">
        <v>5</v>
      </c>
      <c r="C57">
        <v>2026</v>
      </c>
      <c r="D57" s="3" t="s">
        <v>244</v>
      </c>
      <c r="E57" s="3" t="s">
        <v>318</v>
      </c>
      <c r="F57" s="3" t="s">
        <v>75</v>
      </c>
      <c r="G57" s="3" t="s">
        <v>45</v>
      </c>
      <c r="H57" s="3" t="s">
        <v>0</v>
      </c>
      <c r="I57">
        <v>4178772</v>
      </c>
      <c r="J57">
        <f>VLOOKUP(H57,REF!$A$2:$D$33,3,0)</f>
        <v>100</v>
      </c>
      <c r="K57">
        <f t="shared" si="0"/>
        <v>0</v>
      </c>
      <c r="L57" s="3" t="s">
        <v>146</v>
      </c>
      <c r="M57" s="3" t="s">
        <v>339</v>
      </c>
      <c r="N57" s="4">
        <v>46173</v>
      </c>
      <c r="O57" s="2" t="s">
        <v>341</v>
      </c>
      <c r="P57" s="4">
        <v>46173</v>
      </c>
      <c r="R57">
        <f>Table1[[#This Row],[Penghasilan]]*Table1[[#This Row],[Deemed]]/100</f>
        <v>4178772</v>
      </c>
      <c r="S57" t="str">
        <f>VLOOKUP(H57,REF!$A$2:$D$43,4,0)</f>
        <v>TER</v>
      </c>
      <c r="T57" s="12">
        <f t="shared" si="1"/>
        <v>0</v>
      </c>
      <c r="U57">
        <f t="shared" si="2"/>
        <v>0</v>
      </c>
      <c r="V57">
        <f t="shared" si="3"/>
        <v>0</v>
      </c>
      <c r="W57">
        <f t="shared" si="4"/>
        <v>5</v>
      </c>
      <c r="X57">
        <f t="shared" si="5"/>
        <v>0</v>
      </c>
      <c r="Y57">
        <f t="shared" si="6"/>
        <v>0</v>
      </c>
      <c r="Z57">
        <f t="shared" si="7"/>
        <v>0</v>
      </c>
    </row>
    <row r="58" spans="2:26" x14ac:dyDescent="0.2">
      <c r="B58" s="1">
        <v>5</v>
      </c>
      <c r="C58">
        <v>2026</v>
      </c>
      <c r="D58" s="3" t="s">
        <v>245</v>
      </c>
      <c r="E58" s="3" t="s">
        <v>319</v>
      </c>
      <c r="F58" s="3" t="s">
        <v>75</v>
      </c>
      <c r="G58" s="3" t="s">
        <v>45</v>
      </c>
      <c r="H58" s="3" t="s">
        <v>0</v>
      </c>
      <c r="I58">
        <v>1625078</v>
      </c>
      <c r="J58">
        <f>VLOOKUP(H58,REF!$A$2:$D$33,3,0)</f>
        <v>100</v>
      </c>
      <c r="K58">
        <f t="shared" si="0"/>
        <v>0</v>
      </c>
      <c r="L58" s="3" t="s">
        <v>146</v>
      </c>
      <c r="M58" s="3" t="s">
        <v>339</v>
      </c>
      <c r="N58" s="4">
        <v>46173</v>
      </c>
      <c r="O58" s="2" t="s">
        <v>341</v>
      </c>
      <c r="P58" s="4">
        <v>46173</v>
      </c>
      <c r="R58">
        <f>Table1[[#This Row],[Penghasilan]]*Table1[[#This Row],[Deemed]]/100</f>
        <v>1625078</v>
      </c>
      <c r="S58" t="str">
        <f>VLOOKUP(H58,REF!$A$2:$D$43,4,0)</f>
        <v>TER</v>
      </c>
      <c r="T58" s="12">
        <f t="shared" si="1"/>
        <v>0</v>
      </c>
      <c r="U58">
        <f t="shared" si="2"/>
        <v>0</v>
      </c>
      <c r="V58">
        <f t="shared" si="3"/>
        <v>0</v>
      </c>
      <c r="W58">
        <f t="shared" si="4"/>
        <v>5</v>
      </c>
      <c r="X58">
        <f t="shared" si="5"/>
        <v>0.5</v>
      </c>
      <c r="Y58">
        <f t="shared" si="6"/>
        <v>0</v>
      </c>
      <c r="Z58">
        <f t="shared" si="7"/>
        <v>0</v>
      </c>
    </row>
    <row r="59" spans="2:26" x14ac:dyDescent="0.2">
      <c r="B59" s="1">
        <v>5</v>
      </c>
      <c r="C59">
        <v>2026</v>
      </c>
      <c r="D59" s="3" t="s">
        <v>246</v>
      </c>
      <c r="E59" s="3" t="s">
        <v>320</v>
      </c>
      <c r="F59" s="3" t="s">
        <v>75</v>
      </c>
      <c r="G59" s="3" t="s">
        <v>45</v>
      </c>
      <c r="H59" s="3" t="s">
        <v>0</v>
      </c>
      <c r="I59">
        <v>5107388</v>
      </c>
      <c r="J59">
        <f>VLOOKUP(H59,REF!$A$2:$D$33,3,0)</f>
        <v>100</v>
      </c>
      <c r="K59">
        <f t="shared" si="0"/>
        <v>0</v>
      </c>
      <c r="L59" s="3" t="s">
        <v>146</v>
      </c>
      <c r="M59" s="3" t="s">
        <v>339</v>
      </c>
      <c r="N59" s="4">
        <v>46173</v>
      </c>
      <c r="O59" s="2" t="s">
        <v>341</v>
      </c>
      <c r="P59" s="4">
        <v>46173</v>
      </c>
      <c r="R59">
        <f>Table1[[#This Row],[Penghasilan]]*Table1[[#This Row],[Deemed]]/100</f>
        <v>5107388</v>
      </c>
      <c r="S59" t="str">
        <f>VLOOKUP(H59,REF!$A$2:$D$43,4,0)</f>
        <v>TER</v>
      </c>
      <c r="T59" s="12">
        <f t="shared" si="1"/>
        <v>0</v>
      </c>
      <c r="U59">
        <f t="shared" si="2"/>
        <v>0</v>
      </c>
      <c r="V59">
        <f t="shared" si="3"/>
        <v>0</v>
      </c>
      <c r="W59">
        <f t="shared" si="4"/>
        <v>5</v>
      </c>
      <c r="X59">
        <f t="shared" si="5"/>
        <v>0</v>
      </c>
      <c r="Y59">
        <f t="shared" si="6"/>
        <v>0</v>
      </c>
      <c r="Z59">
        <f t="shared" si="7"/>
        <v>0</v>
      </c>
    </row>
    <row r="60" spans="2:26" x14ac:dyDescent="0.2">
      <c r="B60" s="1">
        <v>5</v>
      </c>
      <c r="C60">
        <v>2026</v>
      </c>
      <c r="D60" s="3" t="s">
        <v>247</v>
      </c>
      <c r="E60" s="3" t="s">
        <v>321</v>
      </c>
      <c r="F60" s="3" t="s">
        <v>75</v>
      </c>
      <c r="G60" s="3" t="s">
        <v>45</v>
      </c>
      <c r="H60" s="3" t="s">
        <v>0</v>
      </c>
      <c r="I60">
        <v>5107388</v>
      </c>
      <c r="J60">
        <f>VLOOKUP(H60,REF!$A$2:$D$33,3,0)</f>
        <v>100</v>
      </c>
      <c r="K60">
        <f t="shared" si="0"/>
        <v>0</v>
      </c>
      <c r="L60" s="3" t="s">
        <v>146</v>
      </c>
      <c r="M60" s="3" t="s">
        <v>339</v>
      </c>
      <c r="N60" s="4">
        <v>46173</v>
      </c>
      <c r="O60" s="2" t="s">
        <v>341</v>
      </c>
      <c r="P60" s="4">
        <v>46173</v>
      </c>
      <c r="R60">
        <f>Table1[[#This Row],[Penghasilan]]*Table1[[#This Row],[Deemed]]/100</f>
        <v>5107388</v>
      </c>
      <c r="S60" t="str">
        <f>VLOOKUP(H60,REF!$A$2:$D$43,4,0)</f>
        <v>TER</v>
      </c>
      <c r="T60" s="12">
        <f t="shared" si="1"/>
        <v>0</v>
      </c>
      <c r="U60">
        <f t="shared" si="2"/>
        <v>0</v>
      </c>
      <c r="V60">
        <f t="shared" si="3"/>
        <v>0</v>
      </c>
      <c r="W60">
        <f t="shared" si="4"/>
        <v>5</v>
      </c>
      <c r="X60">
        <f t="shared" si="5"/>
        <v>0</v>
      </c>
      <c r="Y60">
        <f t="shared" si="6"/>
        <v>0</v>
      </c>
      <c r="Z60">
        <f t="shared" si="7"/>
        <v>0</v>
      </c>
    </row>
    <row r="61" spans="2:26" x14ac:dyDescent="0.2">
      <c r="B61" s="1">
        <v>5</v>
      </c>
      <c r="C61">
        <v>2026</v>
      </c>
      <c r="D61" s="3" t="s">
        <v>248</v>
      </c>
      <c r="E61" s="3" t="s">
        <v>322</v>
      </c>
      <c r="F61" s="3" t="s">
        <v>75</v>
      </c>
      <c r="G61" s="3" t="s">
        <v>45</v>
      </c>
      <c r="H61" s="3" t="s">
        <v>0</v>
      </c>
      <c r="I61">
        <v>2553694</v>
      </c>
      <c r="J61">
        <f>VLOOKUP(H61,REF!$A$2:$D$33,3,0)</f>
        <v>100</v>
      </c>
      <c r="K61">
        <f t="shared" si="0"/>
        <v>0</v>
      </c>
      <c r="L61" s="3" t="s">
        <v>146</v>
      </c>
      <c r="M61" s="3" t="s">
        <v>339</v>
      </c>
      <c r="N61" s="4">
        <v>46173</v>
      </c>
      <c r="O61" s="2" t="s">
        <v>341</v>
      </c>
      <c r="P61" s="4">
        <v>46173</v>
      </c>
      <c r="R61">
        <f>Table1[[#This Row],[Penghasilan]]*Table1[[#This Row],[Deemed]]/100</f>
        <v>2553694</v>
      </c>
      <c r="S61" t="str">
        <f>VLOOKUP(H61,REF!$A$2:$D$43,4,0)</f>
        <v>TER</v>
      </c>
      <c r="T61" s="12">
        <f t="shared" si="1"/>
        <v>0</v>
      </c>
      <c r="U61">
        <f t="shared" si="2"/>
        <v>0</v>
      </c>
      <c r="V61">
        <f t="shared" si="3"/>
        <v>0</v>
      </c>
      <c r="W61">
        <f t="shared" si="4"/>
        <v>5</v>
      </c>
      <c r="X61">
        <f t="shared" si="5"/>
        <v>0</v>
      </c>
      <c r="Y61">
        <f t="shared" si="6"/>
        <v>0</v>
      </c>
      <c r="Z61">
        <f t="shared" si="7"/>
        <v>0</v>
      </c>
    </row>
    <row r="62" spans="2:26" x14ac:dyDescent="0.2">
      <c r="B62" s="1">
        <v>5</v>
      </c>
      <c r="C62">
        <v>2026</v>
      </c>
      <c r="D62" s="3" t="s">
        <v>249</v>
      </c>
      <c r="E62" s="3" t="s">
        <v>323</v>
      </c>
      <c r="F62" s="3" t="s">
        <v>75</v>
      </c>
      <c r="G62" s="3" t="s">
        <v>45</v>
      </c>
      <c r="H62" s="3" t="s">
        <v>0</v>
      </c>
      <c r="I62">
        <v>2785848</v>
      </c>
      <c r="J62">
        <f>VLOOKUP(H62,REF!$A$2:$D$33,3,0)</f>
        <v>100</v>
      </c>
      <c r="K62">
        <f t="shared" si="0"/>
        <v>0</v>
      </c>
      <c r="L62" s="3" t="s">
        <v>146</v>
      </c>
      <c r="M62" s="3" t="s">
        <v>339</v>
      </c>
      <c r="N62" s="4">
        <v>46173</v>
      </c>
      <c r="O62" s="2" t="s">
        <v>341</v>
      </c>
      <c r="P62" s="4">
        <v>46173</v>
      </c>
      <c r="R62">
        <f>Table1[[#This Row],[Penghasilan]]*Table1[[#This Row],[Deemed]]/100</f>
        <v>2785848</v>
      </c>
      <c r="S62" t="str">
        <f>VLOOKUP(H62,REF!$A$2:$D$43,4,0)</f>
        <v>TER</v>
      </c>
      <c r="T62" s="12">
        <f t="shared" si="1"/>
        <v>0</v>
      </c>
      <c r="U62">
        <f t="shared" si="2"/>
        <v>0</v>
      </c>
      <c r="V62">
        <f t="shared" si="3"/>
        <v>0</v>
      </c>
      <c r="W62">
        <f t="shared" si="4"/>
        <v>5</v>
      </c>
      <c r="X62">
        <f t="shared" si="5"/>
        <v>0</v>
      </c>
      <c r="Y62">
        <f t="shared" si="6"/>
        <v>0</v>
      </c>
      <c r="Z62">
        <f t="shared" si="7"/>
        <v>0</v>
      </c>
    </row>
    <row r="63" spans="2:26" x14ac:dyDescent="0.2">
      <c r="B63" s="1">
        <v>5</v>
      </c>
      <c r="C63">
        <v>2026</v>
      </c>
      <c r="D63" s="3" t="s">
        <v>250</v>
      </c>
      <c r="E63" s="3" t="s">
        <v>324</v>
      </c>
      <c r="F63" s="3" t="s">
        <v>75</v>
      </c>
      <c r="G63" s="3" t="s">
        <v>45</v>
      </c>
      <c r="H63" s="3" t="s">
        <v>0</v>
      </c>
      <c r="I63">
        <v>4875234</v>
      </c>
      <c r="J63">
        <f>VLOOKUP(H63,REF!$A$2:$D$33,3,0)</f>
        <v>100</v>
      </c>
      <c r="K63">
        <f t="shared" si="0"/>
        <v>0</v>
      </c>
      <c r="L63" s="3" t="s">
        <v>146</v>
      </c>
      <c r="M63" s="3" t="s">
        <v>339</v>
      </c>
      <c r="N63" s="4">
        <v>46173</v>
      </c>
      <c r="O63" s="2" t="s">
        <v>341</v>
      </c>
      <c r="P63" s="4">
        <v>46173</v>
      </c>
      <c r="R63">
        <f>Table1[[#This Row],[Penghasilan]]*Table1[[#This Row],[Deemed]]/100</f>
        <v>4875234</v>
      </c>
      <c r="S63" t="str">
        <f>VLOOKUP(H63,REF!$A$2:$D$43,4,0)</f>
        <v>TER</v>
      </c>
      <c r="T63" s="12">
        <f t="shared" si="1"/>
        <v>0</v>
      </c>
      <c r="U63">
        <f t="shared" si="2"/>
        <v>0</v>
      </c>
      <c r="V63">
        <f t="shared" si="3"/>
        <v>0</v>
      </c>
      <c r="W63">
        <f t="shared" si="4"/>
        <v>5</v>
      </c>
      <c r="X63">
        <f t="shared" si="5"/>
        <v>0</v>
      </c>
      <c r="Y63">
        <f t="shared" si="6"/>
        <v>0</v>
      </c>
      <c r="Z63">
        <f t="shared" si="7"/>
        <v>0</v>
      </c>
    </row>
    <row r="64" spans="2:26" x14ac:dyDescent="0.2">
      <c r="B64" s="1">
        <v>5</v>
      </c>
      <c r="C64">
        <v>2026</v>
      </c>
      <c r="D64" s="3" t="s">
        <v>251</v>
      </c>
      <c r="E64" s="3" t="s">
        <v>325</v>
      </c>
      <c r="F64" s="3" t="s">
        <v>75</v>
      </c>
      <c r="G64" s="3" t="s">
        <v>45</v>
      </c>
      <c r="H64" s="3" t="s">
        <v>0</v>
      </c>
      <c r="I64">
        <v>4875234</v>
      </c>
      <c r="J64">
        <f>VLOOKUP(H64,REF!$A$2:$D$33,3,0)</f>
        <v>100</v>
      </c>
      <c r="K64">
        <f t="shared" si="0"/>
        <v>0</v>
      </c>
      <c r="L64" s="3" t="s">
        <v>146</v>
      </c>
      <c r="M64" s="3" t="s">
        <v>339</v>
      </c>
      <c r="N64" s="4">
        <v>46173</v>
      </c>
      <c r="O64" s="2" t="s">
        <v>341</v>
      </c>
      <c r="P64" s="4">
        <v>46173</v>
      </c>
      <c r="R64">
        <f>Table1[[#This Row],[Penghasilan]]*Table1[[#This Row],[Deemed]]/100</f>
        <v>4875234</v>
      </c>
      <c r="S64" t="str">
        <f>VLOOKUP(H64,REF!$A$2:$D$43,4,0)</f>
        <v>TER</v>
      </c>
      <c r="T64" s="12">
        <f t="shared" si="1"/>
        <v>0</v>
      </c>
      <c r="U64">
        <f t="shared" si="2"/>
        <v>0</v>
      </c>
      <c r="V64">
        <f t="shared" si="3"/>
        <v>0</v>
      </c>
      <c r="W64">
        <f t="shared" si="4"/>
        <v>5</v>
      </c>
      <c r="X64">
        <f t="shared" si="5"/>
        <v>0</v>
      </c>
      <c r="Y64">
        <f t="shared" si="6"/>
        <v>0</v>
      </c>
      <c r="Z64">
        <f t="shared" si="7"/>
        <v>0</v>
      </c>
    </row>
    <row r="65" spans="2:26" x14ac:dyDescent="0.2">
      <c r="B65" s="1">
        <v>5</v>
      </c>
      <c r="C65">
        <v>2026</v>
      </c>
      <c r="D65" s="3" t="s">
        <v>252</v>
      </c>
      <c r="E65" s="3" t="s">
        <v>326</v>
      </c>
      <c r="F65" s="3" t="s">
        <v>75</v>
      </c>
      <c r="G65" s="3" t="s">
        <v>45</v>
      </c>
      <c r="H65" s="3" t="s">
        <v>0</v>
      </c>
      <c r="I65">
        <v>2553694</v>
      </c>
      <c r="J65">
        <f>VLOOKUP(H65,REF!$A$2:$D$33,3,0)</f>
        <v>100</v>
      </c>
      <c r="K65">
        <f t="shared" si="0"/>
        <v>0</v>
      </c>
      <c r="L65" s="3" t="s">
        <v>146</v>
      </c>
      <c r="M65" s="3" t="s">
        <v>339</v>
      </c>
      <c r="N65" s="4">
        <v>46173</v>
      </c>
      <c r="O65" s="2" t="s">
        <v>341</v>
      </c>
      <c r="P65" s="4">
        <v>46173</v>
      </c>
      <c r="R65">
        <f>Table1[[#This Row],[Penghasilan]]*Table1[[#This Row],[Deemed]]/100</f>
        <v>2553694</v>
      </c>
      <c r="S65" t="str">
        <f>VLOOKUP(H65,REF!$A$2:$D$43,4,0)</f>
        <v>TER</v>
      </c>
      <c r="T65" s="12">
        <f t="shared" si="1"/>
        <v>0</v>
      </c>
      <c r="U65">
        <f t="shared" si="2"/>
        <v>0</v>
      </c>
      <c r="V65">
        <f t="shared" si="3"/>
        <v>0</v>
      </c>
      <c r="W65">
        <f t="shared" si="4"/>
        <v>5</v>
      </c>
      <c r="X65">
        <f t="shared" si="5"/>
        <v>0</v>
      </c>
      <c r="Y65">
        <f t="shared" si="6"/>
        <v>0</v>
      </c>
      <c r="Z65">
        <f t="shared" si="7"/>
        <v>0</v>
      </c>
    </row>
    <row r="66" spans="2:26" x14ac:dyDescent="0.2">
      <c r="B66" s="1">
        <v>5</v>
      </c>
      <c r="C66">
        <v>2026</v>
      </c>
      <c r="D66" s="3" t="s">
        <v>253</v>
      </c>
      <c r="E66" s="3" t="s">
        <v>327</v>
      </c>
      <c r="F66" s="3" t="s">
        <v>75</v>
      </c>
      <c r="G66" s="3" t="s">
        <v>45</v>
      </c>
      <c r="H66" s="3" t="s">
        <v>0</v>
      </c>
      <c r="I66">
        <v>2321540</v>
      </c>
      <c r="J66">
        <f>VLOOKUP(H66,REF!$A$2:$D$33,3,0)</f>
        <v>100</v>
      </c>
      <c r="K66">
        <f t="shared" si="0"/>
        <v>0</v>
      </c>
      <c r="L66" s="3" t="s">
        <v>146</v>
      </c>
      <c r="M66" s="3" t="s">
        <v>339</v>
      </c>
      <c r="N66" s="4">
        <v>46173</v>
      </c>
      <c r="O66" s="2" t="s">
        <v>341</v>
      </c>
      <c r="P66" s="4">
        <v>46173</v>
      </c>
      <c r="R66">
        <f>Table1[[#This Row],[Penghasilan]]*Table1[[#This Row],[Deemed]]/100</f>
        <v>2321540</v>
      </c>
      <c r="S66" t="str">
        <f>VLOOKUP(H66,REF!$A$2:$D$43,4,0)</f>
        <v>TER</v>
      </c>
      <c r="T66" s="12">
        <f t="shared" si="1"/>
        <v>0</v>
      </c>
      <c r="U66">
        <f t="shared" si="2"/>
        <v>0</v>
      </c>
      <c r="V66">
        <f t="shared" si="3"/>
        <v>0</v>
      </c>
      <c r="W66">
        <f t="shared" si="4"/>
        <v>5</v>
      </c>
      <c r="X66">
        <f t="shared" si="5"/>
        <v>0.5</v>
      </c>
      <c r="Y66">
        <f t="shared" si="6"/>
        <v>0</v>
      </c>
      <c r="Z66">
        <f t="shared" si="7"/>
        <v>0</v>
      </c>
    </row>
    <row r="67" spans="2:26" x14ac:dyDescent="0.2">
      <c r="B67" s="1">
        <v>5</v>
      </c>
      <c r="C67">
        <v>2026</v>
      </c>
      <c r="D67" s="3" t="s">
        <v>254</v>
      </c>
      <c r="E67" s="3" t="s">
        <v>328</v>
      </c>
      <c r="F67" s="3" t="s">
        <v>75</v>
      </c>
      <c r="G67" s="3" t="s">
        <v>45</v>
      </c>
      <c r="H67" s="3" t="s">
        <v>0</v>
      </c>
      <c r="I67">
        <v>4875234</v>
      </c>
      <c r="J67">
        <f>VLOOKUP(H67,REF!$A$2:$D$33,3,0)</f>
        <v>100</v>
      </c>
      <c r="K67">
        <f t="shared" si="0"/>
        <v>0</v>
      </c>
      <c r="L67" s="3" t="s">
        <v>146</v>
      </c>
      <c r="M67" s="3" t="s">
        <v>339</v>
      </c>
      <c r="N67" s="4">
        <v>46173</v>
      </c>
      <c r="O67" s="2" t="s">
        <v>341</v>
      </c>
      <c r="P67" s="4">
        <v>46173</v>
      </c>
      <c r="R67">
        <f>Table1[[#This Row],[Penghasilan]]*Table1[[#This Row],[Deemed]]/100</f>
        <v>4875234</v>
      </c>
      <c r="S67" t="str">
        <f>VLOOKUP(H67,REF!$A$2:$D$43,4,0)</f>
        <v>TER</v>
      </c>
      <c r="T67" s="12">
        <f t="shared" si="1"/>
        <v>0</v>
      </c>
      <c r="U67">
        <f t="shared" si="2"/>
        <v>0</v>
      </c>
      <c r="V67">
        <f t="shared" si="3"/>
        <v>0</v>
      </c>
      <c r="W67">
        <f t="shared" si="4"/>
        <v>5</v>
      </c>
      <c r="X67">
        <f t="shared" si="5"/>
        <v>0</v>
      </c>
      <c r="Y67">
        <f t="shared" si="6"/>
        <v>0</v>
      </c>
      <c r="Z67">
        <f t="shared" si="7"/>
        <v>0</v>
      </c>
    </row>
    <row r="68" spans="2:26" x14ac:dyDescent="0.2">
      <c r="B68" s="1">
        <v>5</v>
      </c>
      <c r="C68">
        <v>2026</v>
      </c>
      <c r="D68" s="3" t="s">
        <v>255</v>
      </c>
      <c r="E68" s="3" t="s">
        <v>329</v>
      </c>
      <c r="F68" s="3" t="s">
        <v>75</v>
      </c>
      <c r="G68" s="3" t="s">
        <v>45</v>
      </c>
      <c r="H68" s="3" t="s">
        <v>0</v>
      </c>
      <c r="I68">
        <v>1392924</v>
      </c>
      <c r="J68">
        <f>VLOOKUP(H68,REF!$A$2:$D$33,3,0)</f>
        <v>100</v>
      </c>
      <c r="K68">
        <f t="shared" si="0"/>
        <v>0</v>
      </c>
      <c r="L68" s="3" t="s">
        <v>146</v>
      </c>
      <c r="M68" s="3" t="s">
        <v>339</v>
      </c>
      <c r="N68" s="4">
        <v>46173</v>
      </c>
      <c r="O68" s="2" t="s">
        <v>341</v>
      </c>
      <c r="P68" s="4">
        <v>46173</v>
      </c>
      <c r="R68">
        <f>Table1[[#This Row],[Penghasilan]]*Table1[[#This Row],[Deemed]]/100</f>
        <v>1392924</v>
      </c>
      <c r="S68" t="str">
        <f>VLOOKUP(H68,REF!$A$2:$D$43,4,0)</f>
        <v>TER</v>
      </c>
      <c r="T68" s="12">
        <f t="shared" si="1"/>
        <v>0</v>
      </c>
      <c r="U68">
        <f t="shared" si="2"/>
        <v>0</v>
      </c>
      <c r="V68">
        <f t="shared" si="3"/>
        <v>0</v>
      </c>
      <c r="W68">
        <f t="shared" si="4"/>
        <v>5</v>
      </c>
      <c r="X68">
        <f t="shared" si="5"/>
        <v>0.5</v>
      </c>
      <c r="Y68">
        <f t="shared" si="6"/>
        <v>0</v>
      </c>
      <c r="Z68">
        <f t="shared" si="7"/>
        <v>0</v>
      </c>
    </row>
    <row r="69" spans="2:26" x14ac:dyDescent="0.2">
      <c r="B69" s="1">
        <v>5</v>
      </c>
      <c r="C69">
        <v>2026</v>
      </c>
      <c r="D69" s="3" t="s">
        <v>256</v>
      </c>
      <c r="E69" s="3" t="s">
        <v>330</v>
      </c>
      <c r="F69" s="3" t="s">
        <v>75</v>
      </c>
      <c r="G69" s="3" t="s">
        <v>45</v>
      </c>
      <c r="H69" s="3" t="s">
        <v>0</v>
      </c>
      <c r="I69">
        <v>5107388</v>
      </c>
      <c r="J69">
        <f>VLOOKUP(H69,REF!$A$2:$D$33,3,0)</f>
        <v>100</v>
      </c>
      <c r="K69">
        <f t="shared" ref="K69:K77" si="8">IF(S69="TER",IF(OR(F69="TK/0",F69="TK/1",F69="K/0",F69="HB/0",F69="HB/1"),T69,IF(OR(F69="TK/2",F69="TK/3",F69="K/1",F69="K/2",F69="HB/2",F69="HB/3"),U69,V69)),IF(S69="PS17",W69,IF(S69="HARIAN",X69,IF(S69="PESANGON",Y69,IF(S69="PENSIUN",Z69,S69)))))</f>
        <v>0</v>
      </c>
      <c r="L69" s="3" t="s">
        <v>146</v>
      </c>
      <c r="M69" s="3" t="s">
        <v>339</v>
      </c>
      <c r="N69" s="4">
        <v>46173</v>
      </c>
      <c r="O69" s="2" t="s">
        <v>341</v>
      </c>
      <c r="P69" s="4">
        <v>46173</v>
      </c>
      <c r="R69">
        <f>Table1[[#This Row],[Penghasilan]]*Table1[[#This Row],[Deemed]]/100</f>
        <v>5107388</v>
      </c>
      <c r="S69" t="str">
        <f>VLOOKUP(H69,REF!$A$2:$D$43,4,0)</f>
        <v>TER</v>
      </c>
      <c r="T69" s="12">
        <f t="shared" ref="T69:T77" si="9">IF(R69&lt;=5400000,0,IF(AND(R69&gt;5400000,R69&lt;=5650000),0.25,IF(AND(R69&gt;5650000,R69&lt;=5950000),0.5,IF(AND(R69&gt;5950000,R69&lt;=6300000),0.75,IF(AND(R69&gt;6300000,R69&lt;=6750000),1,IF(AND(R69&gt;6750000,R69&lt;=7500000),1.25,IF(AND(R69&gt;7500000,R69&lt;=8550000),1.5,IF(AND(R69&gt;8550000,R69&lt;=9650000),1.75,IF(AND(R69&gt;9650000,R69&lt;=10050000),2,IF(AND(R69&gt;10050000,R69&lt;=10350000),2.25,IF(AND(R69&gt;10350000,R69&lt;=10700000),2.5,IF(AND(R69&gt;10700000,R69&lt;=11050000),3,IF(AND(R69&gt;11050000,R69&lt;=11600000),3.5,IF(AND(R69&gt;11600000,R69&lt;=12500000),4,IF(AND(R69&gt;12500000,R69&lt;=13750000),5,IF(AND(R69&gt;13750000,R69&lt;=15100000),6,IF(AND(R69&gt;15100000,R69&lt;=16950000),7,IF(AND(R69&gt;16950000,R69&lt;=19750000),8,IF(AND(R69&gt;19750000,R69&lt;=24150000),9,IF(AND(R69&gt;24150000,R69&lt;=26450000),10,IF(AND(R69&gt;26450000,R69&lt;=28000000),11,IF(AND(R69&gt;28000000,R69&lt;=30050000),12,IF(AND(R69&gt;30050000,R69&lt;=32400000),13,IF(AND(R69&gt;32400000,R69&lt;=35400000),14,IF(AND(R69&gt;35400000,R69&lt;=39100000),15,IF(AND(R69&gt;39100000,R69&lt;=43850000),16,IF(AND(R69&gt;43850000,R69&lt;=47800000),17,IF(AND(R69&gt;47800000,R69&lt;=51400000),18,IF(AND(R69&gt;51400000,R69&lt;=56300000),19,IF(AND(R69&gt;56300000,R69&lt;=62200000),20,IF(AND(R69&gt;62200000,R69&lt;=68600000),21,IF(AND(R69&gt;68600000,R69&lt;=77500000),22,IF(AND(R69&gt;77500000,R69&lt;=89000000),23,IF(AND(R69&gt;89000000,R69&lt;=103000000),24,IF(AND(R69&gt;103000000,R69&lt;=125000000),25,IF(AND(R69&gt;125000000,R69&lt;=157000000),26,IF(AND(R69&gt;157000000,R69&lt;=206000000),27,IF(AND(R69&gt;206000000,R69&lt;=337000000),28,IF(AND(R69&gt;337000000,R69&lt;=454000000),29,IF(AND(R69&gt;454000000,R69&lt;=550000000),30,IF(AND(R69&gt;550000000,R69&lt;=695000000),31,IF(AND(R69&gt;695000000,R69&lt;=910000000),32,IF(AND(R69&gt;910000000,R69&lt;=1400000000),33,34)))))))))))))))))))))))))))))))))))))))))))</f>
        <v>0</v>
      </c>
      <c r="U69">
        <f t="shared" ref="U69:U77" si="10">IF(R69&lt;=6200000,0,IF(AND(R69&gt;6200000,R69&lt;=6500000),0.25,IF(AND(R69&gt;6500000,R69&lt;=6850000),0.5,IF(AND(R69&gt;6850000,R69&lt;=7300000),0.75,IF(AND(R69&gt;7300000,R69&lt;=9200000),1,IF(AND(R69&gt;9200000,R69&lt;=10750000),1.5,IF(AND(R69&gt;10750000,R69&lt;=11250000),2,IF(AND(R69&gt;11250000,R69&lt;=11600000),2.5,IF(AND(R69&gt;11600000,R69&lt;=12600000),3,IF(AND(R69&gt;12600000,R69&lt;=13600000),4,IF(AND(R69&gt;13600000,R69&lt;=14950000),5,IF(AND(R69&gt;14950000,R69&lt;=16400000),6,IF(AND(R69&gt;16400000,R69&lt;=18450000),7,IF(AND(R69&gt;18450000,R69&lt;=21850000),8,IF(AND(R69&gt;21850000,R69&lt;=26000000),9,IF(AND(R69&gt;26000000,R69&lt;=27700000),10,IF(AND(R69&gt;27700000,R69&lt;=29350000),11,IF(AND(R69&gt;29350000,R69&lt;=31450000),12,IF(AND(R69&gt;31450000,R69&lt;=33950000),13,IF(AND(R69&gt;33950000,R69&lt;=37100000),14,IF(AND(R69&gt;37100000,R69&lt;=41100000),15,IF(AND(R69&gt;41100000,R69&lt;=45800000),16,IF(AND(R69&gt;45800000,R69&lt;=49500000),17,IF(AND(R69&gt;49500000,R69&lt;=53800000),18,IF(AND(R69&gt;53800000,R69&lt;=58500000),19,IF(AND(R69&gt;58500000,R69&lt;=64000000),20,IF(AND(R69&gt;64000000,R69&lt;=71000000),21,IF(AND(R69&gt;71000000,R69&lt;=80000000),22,IF(AND(R69&gt;80000000,R69&lt;=93000000),23,IF(AND(R69&gt;93000000,R69&lt;=109000000),24,IF(AND(R69&gt;109000000,R69&lt;=129000000),25,IF(AND(R69&gt;129000000,R69&lt;=163000000),26,IF(AND(R69&gt;163000000,R69&lt;=211000000),27,IF(AND(R69&gt;211000000,R69&lt;=374000000),28,IF(AND(R69&gt;374000000,R69&lt;=459000000),29,IF(AND(R69&gt;459000000,R69&lt;=555000000),30,IF(AND(R69&gt;555000000,R69&lt;=704000000),31,IF(AND(R69&gt;704000000,R69&lt;=957000000),32,IF(AND(R69&gt;957000000,R69&lt;=1405000000),33,34)))))))))))))))))))))))))))))))))))))))</f>
        <v>0</v>
      </c>
      <c r="V69">
        <f t="shared" ref="V69:V77" si="11">IF(R69&lt;=6600000,0,IF(AND(R69&gt;6600000,R69&lt;=6950000),0.25,IF(AND(R69&gt;6950000,R69&lt;=7350000),0.5,IF(AND(R69&gt;7350000,R69&lt;=7800000),0.75,IF(AND(R69&gt;7800000,R69&lt;=8850000),1,IF(AND(R69&gt;8850000,R69&lt;=9800000),1.25,IF(AND(R69&gt;9800000,R69&lt;=10950000),1.5,IF(AND(R69&gt;10950000,R69&lt;=11200000),1.75,IF(AND(R69&gt;11200000,R69&lt;=12050000),2,IF(AND(R69&gt;12050000,R69&lt;=12950000),3,IF(AND(R69&gt;12950000,R69&lt;=14150000),4,IF(AND(R69&gt;14150000,R69&lt;=15550000),5,IF(AND(R69&gt;15550000,R69&lt;=17050000),6,IF(AND(R69&gt;17050000,R69&lt;=19500000),7,IF(AND(R69&gt;19500000,R69&lt;=22700000),8,IF(AND(R69&gt;22700000,R69&lt;=26600000),9,IF(AND(R69&gt;26600000,R69&lt;=28100000),10,IF(AND(R69&gt;28100000,R69&lt;=30100000),11,IF(AND(R69&gt;30100000,R69&lt;=32600000),12,IF(AND(R69&gt;32600000,R69&lt;=35400000),13,IF(AND(R69&gt;35400000,R69&lt;=38900000),14,IF(AND(R69&gt;38900000,R69&lt;=43000000),15,IF(AND(R69&gt;43000000,R69&lt;=47400000),16,IF(AND(R69&gt;47400000,R69&lt;=51200000),17,IF(AND(R69&gt;51200000,R69&lt;=55800000),18,IF(AND(R69&gt;55800000,R69&lt;=60400000),19,IF(AND(R69&gt;60400000,R69&lt;=66700000),20,IF(AND(R69&gt;66700000,R69&lt;=74500000),21,IF(AND(R69&gt;74500000,R69&lt;=83200000),22,IF(AND(R69&gt;83200000,R69&lt;=95600000),23,IF(AND(R69&gt;95600000,R69&lt;=110000000),24,IF(AND(R69&gt;110000000,R69&lt;=134000000),25,IF(AND(R69&gt;134000000,R69&lt;=169000000),26,IF(AND(R69&gt;169000000,R69&lt;=221000000),27,IF(AND(R69&gt;221000000,R69&lt;=390000000),28,IF(AND(R69&gt;390000000,R69&lt;=463000000),29,IF(AND(R69&gt;463000000,R69&lt;=561000000),30,IF(AND(R69&gt;561000000,R69&lt;=709000000),31,IF(AND(R69&gt;709000000,R69&lt;=965000000),32,IF(AND(R69&gt;965000000,R69&lt;=1419000000),33,34))))))))))))))))))))))))))))))))))))))))</f>
        <v>0</v>
      </c>
      <c r="W69">
        <f t="shared" ref="W69:W77" si="12">IF(R69&lt;=60000000,5,IF(AND(R69&gt;60000000,R69&lt;=250000000),15,IF(AND(R69&gt;250000000,R69&lt;=500000000),25,IF(AND(R69&gt;500000000,R69&lt;=5000000000),30,35))))</f>
        <v>5</v>
      </c>
      <c r="X69">
        <f t="shared" ref="X69:X77" si="13">IF(R69&lt;=450000,0,IF(AND(R69&gt;450000,R69&lt;=2500000),0.5,0))</f>
        <v>0</v>
      </c>
      <c r="Y69">
        <f t="shared" ref="Y69:Y77" si="14">IF(R69&lt;=50000000,0,IF(AND(R69&gt;50000000,R69&lt;=100000000),5,IF(AND(R69&gt;100000000,R69&lt;=500000000),15,25)))</f>
        <v>0</v>
      </c>
      <c r="Z69">
        <f t="shared" ref="Z69:Z77" si="15">IF(R69&lt;=50000000,0,5)</f>
        <v>0</v>
      </c>
    </row>
    <row r="70" spans="2:26" x14ac:dyDescent="0.2">
      <c r="B70" s="1">
        <v>5</v>
      </c>
      <c r="C70">
        <v>2026</v>
      </c>
      <c r="D70" s="3" t="s">
        <v>257</v>
      </c>
      <c r="E70" s="3" t="s">
        <v>331</v>
      </c>
      <c r="F70" s="3" t="s">
        <v>75</v>
      </c>
      <c r="G70" s="3" t="s">
        <v>45</v>
      </c>
      <c r="H70" s="3" t="s">
        <v>0</v>
      </c>
      <c r="I70">
        <v>696462</v>
      </c>
      <c r="J70">
        <f>VLOOKUP(H70,REF!$A$2:$D$33,3,0)</f>
        <v>100</v>
      </c>
      <c r="K70">
        <f t="shared" si="8"/>
        <v>0</v>
      </c>
      <c r="L70" s="3" t="s">
        <v>146</v>
      </c>
      <c r="M70" s="3" t="s">
        <v>339</v>
      </c>
      <c r="N70" s="4">
        <v>46173</v>
      </c>
      <c r="O70" s="2" t="s">
        <v>341</v>
      </c>
      <c r="P70" s="4">
        <v>46173</v>
      </c>
      <c r="R70">
        <f>Table1[[#This Row],[Penghasilan]]*Table1[[#This Row],[Deemed]]/100</f>
        <v>696462</v>
      </c>
      <c r="S70" t="str">
        <f>VLOOKUP(H70,REF!$A$2:$D$43,4,0)</f>
        <v>TER</v>
      </c>
      <c r="T70" s="12">
        <f t="shared" si="9"/>
        <v>0</v>
      </c>
      <c r="U70">
        <f t="shared" si="10"/>
        <v>0</v>
      </c>
      <c r="V70">
        <f t="shared" si="11"/>
        <v>0</v>
      </c>
      <c r="W70">
        <f t="shared" si="12"/>
        <v>5</v>
      </c>
      <c r="X70">
        <f t="shared" si="13"/>
        <v>0.5</v>
      </c>
      <c r="Y70">
        <f t="shared" si="14"/>
        <v>0</v>
      </c>
      <c r="Z70">
        <f t="shared" si="15"/>
        <v>0</v>
      </c>
    </row>
    <row r="71" spans="2:26" x14ac:dyDescent="0.2">
      <c r="B71" s="1">
        <v>5</v>
      </c>
      <c r="C71">
        <v>2026</v>
      </c>
      <c r="D71" s="3" t="s">
        <v>258</v>
      </c>
      <c r="E71" s="3" t="s">
        <v>332</v>
      </c>
      <c r="F71" s="3" t="s">
        <v>75</v>
      </c>
      <c r="G71" s="3" t="s">
        <v>45</v>
      </c>
      <c r="H71" s="3" t="s">
        <v>0</v>
      </c>
      <c r="I71">
        <v>4410926</v>
      </c>
      <c r="J71">
        <f>VLOOKUP(H71,REF!$A$2:$D$33,3,0)</f>
        <v>100</v>
      </c>
      <c r="K71">
        <f t="shared" si="8"/>
        <v>0</v>
      </c>
      <c r="L71" s="3" t="s">
        <v>146</v>
      </c>
      <c r="M71" s="3" t="s">
        <v>339</v>
      </c>
      <c r="N71" s="4">
        <v>46173</v>
      </c>
      <c r="O71" s="2" t="s">
        <v>341</v>
      </c>
      <c r="P71" s="4">
        <v>46173</v>
      </c>
      <c r="R71">
        <f>Table1[[#This Row],[Penghasilan]]*Table1[[#This Row],[Deemed]]/100</f>
        <v>4410926</v>
      </c>
      <c r="S71" t="str">
        <f>VLOOKUP(H71,REF!$A$2:$D$43,4,0)</f>
        <v>TER</v>
      </c>
      <c r="T71" s="12">
        <f t="shared" si="9"/>
        <v>0</v>
      </c>
      <c r="U71">
        <f t="shared" si="10"/>
        <v>0</v>
      </c>
      <c r="V71">
        <f t="shared" si="11"/>
        <v>0</v>
      </c>
      <c r="W71">
        <f t="shared" si="12"/>
        <v>5</v>
      </c>
      <c r="X71">
        <f t="shared" si="13"/>
        <v>0</v>
      </c>
      <c r="Y71">
        <f t="shared" si="14"/>
        <v>0</v>
      </c>
      <c r="Z71">
        <f t="shared" si="15"/>
        <v>0</v>
      </c>
    </row>
    <row r="72" spans="2:26" x14ac:dyDescent="0.2">
      <c r="B72" s="1">
        <v>5</v>
      </c>
      <c r="C72">
        <v>2026</v>
      </c>
      <c r="D72" s="3" t="s">
        <v>259</v>
      </c>
      <c r="E72" s="3" t="s">
        <v>333</v>
      </c>
      <c r="F72" s="3" t="s">
        <v>75</v>
      </c>
      <c r="G72" s="3" t="s">
        <v>45</v>
      </c>
      <c r="H72" s="3" t="s">
        <v>0</v>
      </c>
      <c r="I72">
        <v>4643080</v>
      </c>
      <c r="J72">
        <f>VLOOKUP(H72,REF!$A$2:$D$33,3,0)</f>
        <v>100</v>
      </c>
      <c r="K72">
        <f t="shared" si="8"/>
        <v>0</v>
      </c>
      <c r="L72" s="3" t="s">
        <v>146</v>
      </c>
      <c r="M72" s="3" t="s">
        <v>339</v>
      </c>
      <c r="N72" s="4">
        <v>46173</v>
      </c>
      <c r="O72" s="2" t="s">
        <v>341</v>
      </c>
      <c r="P72" s="4">
        <v>46173</v>
      </c>
      <c r="R72">
        <f>Table1[[#This Row],[Penghasilan]]*Table1[[#This Row],[Deemed]]/100</f>
        <v>4643080</v>
      </c>
      <c r="S72" t="str">
        <f>VLOOKUP(H72,REF!$A$2:$D$43,4,0)</f>
        <v>TER</v>
      </c>
      <c r="T72" s="12">
        <f t="shared" si="9"/>
        <v>0</v>
      </c>
      <c r="U72">
        <f t="shared" si="10"/>
        <v>0</v>
      </c>
      <c r="V72">
        <f t="shared" si="11"/>
        <v>0</v>
      </c>
      <c r="W72">
        <f t="shared" si="12"/>
        <v>5</v>
      </c>
      <c r="X72">
        <f t="shared" si="13"/>
        <v>0</v>
      </c>
      <c r="Y72">
        <f t="shared" si="14"/>
        <v>0</v>
      </c>
      <c r="Z72">
        <f t="shared" si="15"/>
        <v>0</v>
      </c>
    </row>
    <row r="73" spans="2:26" x14ac:dyDescent="0.2">
      <c r="B73" s="1">
        <v>5</v>
      </c>
      <c r="C73">
        <v>2026</v>
      </c>
      <c r="D73" s="3" t="s">
        <v>260</v>
      </c>
      <c r="E73" s="3" t="s">
        <v>334</v>
      </c>
      <c r="F73" s="3" t="s">
        <v>75</v>
      </c>
      <c r="G73" s="3" t="s">
        <v>45</v>
      </c>
      <c r="H73" s="3" t="s">
        <v>0</v>
      </c>
      <c r="I73">
        <v>3018002</v>
      </c>
      <c r="J73">
        <f>VLOOKUP(H73,REF!$A$2:$D$33,3,0)</f>
        <v>100</v>
      </c>
      <c r="K73">
        <f t="shared" si="8"/>
        <v>0</v>
      </c>
      <c r="L73" s="3" t="s">
        <v>146</v>
      </c>
      <c r="M73" s="3" t="s">
        <v>339</v>
      </c>
      <c r="N73" s="4">
        <v>46173</v>
      </c>
      <c r="O73" s="2" t="s">
        <v>341</v>
      </c>
      <c r="P73" s="4">
        <v>46173</v>
      </c>
      <c r="R73">
        <f>Table1[[#This Row],[Penghasilan]]*Table1[[#This Row],[Deemed]]/100</f>
        <v>3018002</v>
      </c>
      <c r="S73" t="str">
        <f>VLOOKUP(H73,REF!$A$2:$D$43,4,0)</f>
        <v>TER</v>
      </c>
      <c r="T73" s="12">
        <f t="shared" si="9"/>
        <v>0</v>
      </c>
      <c r="U73">
        <f t="shared" si="10"/>
        <v>0</v>
      </c>
      <c r="V73">
        <f t="shared" si="11"/>
        <v>0</v>
      </c>
      <c r="W73">
        <f t="shared" si="12"/>
        <v>5</v>
      </c>
      <c r="X73">
        <f t="shared" si="13"/>
        <v>0</v>
      </c>
      <c r="Y73">
        <f t="shared" si="14"/>
        <v>0</v>
      </c>
      <c r="Z73">
        <f t="shared" si="15"/>
        <v>0</v>
      </c>
    </row>
    <row r="74" spans="2:26" x14ac:dyDescent="0.2">
      <c r="B74" s="1">
        <v>5</v>
      </c>
      <c r="C74">
        <v>2026</v>
      </c>
      <c r="D74" s="3" t="s">
        <v>261</v>
      </c>
      <c r="E74" s="3" t="s">
        <v>335</v>
      </c>
      <c r="F74" s="3" t="s">
        <v>75</v>
      </c>
      <c r="G74" s="3" t="s">
        <v>45</v>
      </c>
      <c r="H74" s="3" t="s">
        <v>0</v>
      </c>
      <c r="I74">
        <v>5339542</v>
      </c>
      <c r="J74">
        <f>VLOOKUP(H74,REF!$A$2:$D$33,3,0)</f>
        <v>100</v>
      </c>
      <c r="K74">
        <f t="shared" si="8"/>
        <v>0</v>
      </c>
      <c r="L74" s="3" t="s">
        <v>146</v>
      </c>
      <c r="M74" s="3" t="s">
        <v>339</v>
      </c>
      <c r="N74" s="4">
        <v>46173</v>
      </c>
      <c r="O74" s="2" t="s">
        <v>341</v>
      </c>
      <c r="P74" s="4">
        <v>46173</v>
      </c>
      <c r="R74">
        <f>Table1[[#This Row],[Penghasilan]]*Table1[[#This Row],[Deemed]]/100</f>
        <v>5339542</v>
      </c>
      <c r="S74" t="str">
        <f>VLOOKUP(H74,REF!$A$2:$D$43,4,0)</f>
        <v>TER</v>
      </c>
      <c r="T74" s="12">
        <f t="shared" si="9"/>
        <v>0</v>
      </c>
      <c r="U74">
        <f t="shared" si="10"/>
        <v>0</v>
      </c>
      <c r="V74">
        <f t="shared" si="11"/>
        <v>0</v>
      </c>
      <c r="W74">
        <f t="shared" si="12"/>
        <v>5</v>
      </c>
      <c r="X74">
        <f t="shared" si="13"/>
        <v>0</v>
      </c>
      <c r="Y74">
        <f t="shared" si="14"/>
        <v>0</v>
      </c>
      <c r="Z74">
        <f t="shared" si="15"/>
        <v>0</v>
      </c>
    </row>
    <row r="75" spans="2:26" x14ac:dyDescent="0.2">
      <c r="B75" s="1">
        <v>5</v>
      </c>
      <c r="C75">
        <v>2026</v>
      </c>
      <c r="D75" s="3" t="s">
        <v>262</v>
      </c>
      <c r="E75" s="3" t="s">
        <v>336</v>
      </c>
      <c r="F75" s="3" t="s">
        <v>75</v>
      </c>
      <c r="G75" s="3" t="s">
        <v>45</v>
      </c>
      <c r="H75" s="3" t="s">
        <v>0</v>
      </c>
      <c r="I75">
        <v>3946618</v>
      </c>
      <c r="J75">
        <f>VLOOKUP(H75,REF!$A$2:$D$33,3,0)</f>
        <v>100</v>
      </c>
      <c r="K75">
        <f t="shared" si="8"/>
        <v>0</v>
      </c>
      <c r="L75" s="3" t="s">
        <v>146</v>
      </c>
      <c r="M75" s="3" t="s">
        <v>339</v>
      </c>
      <c r="N75" s="4">
        <v>46173</v>
      </c>
      <c r="O75" s="2" t="s">
        <v>341</v>
      </c>
      <c r="P75" s="4">
        <v>46173</v>
      </c>
      <c r="R75">
        <f>Table1[[#This Row],[Penghasilan]]*Table1[[#This Row],[Deemed]]/100</f>
        <v>3946618</v>
      </c>
      <c r="S75" t="str">
        <f>VLOOKUP(H75,REF!$A$2:$D$43,4,0)</f>
        <v>TER</v>
      </c>
      <c r="T75" s="12">
        <f t="shared" si="9"/>
        <v>0</v>
      </c>
      <c r="U75">
        <f t="shared" si="10"/>
        <v>0</v>
      </c>
      <c r="V75">
        <f t="shared" si="11"/>
        <v>0</v>
      </c>
      <c r="W75">
        <f t="shared" si="12"/>
        <v>5</v>
      </c>
      <c r="X75">
        <f t="shared" si="13"/>
        <v>0</v>
      </c>
      <c r="Y75">
        <f t="shared" si="14"/>
        <v>0</v>
      </c>
      <c r="Z75">
        <f t="shared" si="15"/>
        <v>0</v>
      </c>
    </row>
    <row r="76" spans="2:26" x14ac:dyDescent="0.2">
      <c r="B76" s="1">
        <v>5</v>
      </c>
      <c r="C76">
        <v>2026</v>
      </c>
      <c r="D76" s="3" t="s">
        <v>263</v>
      </c>
      <c r="E76" s="3" t="s">
        <v>337</v>
      </c>
      <c r="F76" s="3" t="s">
        <v>75</v>
      </c>
      <c r="G76" s="3" t="s">
        <v>45</v>
      </c>
      <c r="H76" s="3" t="s">
        <v>0</v>
      </c>
      <c r="I76">
        <v>3714464</v>
      </c>
      <c r="J76">
        <f>VLOOKUP(H76,REF!$A$2:$D$33,3,0)</f>
        <v>100</v>
      </c>
      <c r="K76">
        <f t="shared" si="8"/>
        <v>0</v>
      </c>
      <c r="L76" s="3" t="s">
        <v>146</v>
      </c>
      <c r="M76" s="3" t="s">
        <v>339</v>
      </c>
      <c r="N76" s="4">
        <v>46173</v>
      </c>
      <c r="O76" s="2" t="s">
        <v>341</v>
      </c>
      <c r="P76" s="4">
        <v>46173</v>
      </c>
      <c r="R76">
        <f>Table1[[#This Row],[Penghasilan]]*Table1[[#This Row],[Deemed]]/100</f>
        <v>3714464</v>
      </c>
      <c r="S76" t="str">
        <f>VLOOKUP(H76,REF!$A$2:$D$43,4,0)</f>
        <v>TER</v>
      </c>
      <c r="T76" s="12">
        <f t="shared" si="9"/>
        <v>0</v>
      </c>
      <c r="U76">
        <f t="shared" si="10"/>
        <v>0</v>
      </c>
      <c r="V76">
        <f t="shared" si="11"/>
        <v>0</v>
      </c>
      <c r="W76">
        <f t="shared" si="12"/>
        <v>5</v>
      </c>
      <c r="X76">
        <f t="shared" si="13"/>
        <v>0</v>
      </c>
      <c r="Y76">
        <f t="shared" si="14"/>
        <v>0</v>
      </c>
      <c r="Z76">
        <f t="shared" si="15"/>
        <v>0</v>
      </c>
    </row>
    <row r="77" spans="2:26" x14ac:dyDescent="0.2">
      <c r="B77" s="1">
        <v>5</v>
      </c>
      <c r="C77">
        <v>2026</v>
      </c>
      <c r="D77" s="3" t="s">
        <v>264</v>
      </c>
      <c r="E77" s="3" t="s">
        <v>338</v>
      </c>
      <c r="F77" s="3" t="s">
        <v>75</v>
      </c>
      <c r="G77" s="3" t="s">
        <v>45</v>
      </c>
      <c r="H77" s="3" t="s">
        <v>0</v>
      </c>
      <c r="I77">
        <v>3946618</v>
      </c>
      <c r="J77">
        <f>VLOOKUP(H77,REF!$A$2:$D$33,3,0)</f>
        <v>100</v>
      </c>
      <c r="K77">
        <f t="shared" si="8"/>
        <v>0</v>
      </c>
      <c r="L77" s="3" t="s">
        <v>146</v>
      </c>
      <c r="M77" s="3" t="s">
        <v>339</v>
      </c>
      <c r="N77" s="4">
        <v>46173</v>
      </c>
      <c r="O77" s="2" t="s">
        <v>341</v>
      </c>
      <c r="P77" s="4">
        <v>46173</v>
      </c>
      <c r="R77">
        <f>Table1[[#This Row],[Penghasilan]]*Table1[[#This Row],[Deemed]]/100</f>
        <v>3946618</v>
      </c>
      <c r="S77" t="str">
        <f>VLOOKUP(H77,REF!$A$2:$D$43,4,0)</f>
        <v>TER</v>
      </c>
      <c r="T77" s="12">
        <f t="shared" si="9"/>
        <v>0</v>
      </c>
      <c r="U77">
        <f t="shared" si="10"/>
        <v>0</v>
      </c>
      <c r="V77">
        <f t="shared" si="11"/>
        <v>0</v>
      </c>
      <c r="W77">
        <f t="shared" si="12"/>
        <v>5</v>
      </c>
      <c r="X77">
        <f t="shared" si="13"/>
        <v>0</v>
      </c>
      <c r="Y77">
        <f t="shared" si="14"/>
        <v>0</v>
      </c>
      <c r="Z77">
        <f t="shared" si="15"/>
        <v>0</v>
      </c>
    </row>
  </sheetData>
  <mergeCells count="1">
    <mergeCell ref="A1:B1"/>
  </mergeCells>
  <pageMargins left="0.7" right="0.7" top="0.75" bottom="0.75" header="0.3" footer="0.3"/>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1000000}">
          <x14:formula1>
            <xm:f>REF!$G$2:$G$5</xm:f>
          </x14:formula1>
          <xm:sqref>G4:G77</xm:sqref>
        </x14:dataValidation>
        <x14:dataValidation type="list" allowBlank="1" showInputMessage="1" showErrorMessage="1" xr:uid="{242C818E-139A-4546-86BB-856CADA59856}">
          <x14:formula1>
            <xm:f>REF!$A$2:$A$34</xm:f>
          </x14:formula1>
          <xm:sqref>H4:H77</xm:sqref>
        </x14:dataValidation>
        <x14:dataValidation type="list" allowBlank="1" showInputMessage="1" showErrorMessage="1" xr:uid="{00000000-0002-0000-0000-000003000000}">
          <x14:formula1>
            <xm:f>REF!$G$26:$G$33</xm:f>
          </x14:formula1>
          <xm:sqref>F4:F77</xm:sqref>
        </x14:dataValidation>
        <x14:dataValidation type="list" allowBlank="1" showInputMessage="1" showErrorMessage="1" xr:uid="{68F50C83-9F35-4928-8C99-2B670EB0BA9E}">
          <x14:formula1>
            <xm:f>REF!$G$9:$G$22</xm:f>
          </x14:formula1>
          <xm:sqref>L4:L77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zoomScaleNormal="100" workbookViewId="0">
      <selection activeCell="E12" sqref="E12"/>
    </sheetView>
  </sheetViews>
  <sheetFormatPr baseColWidth="10" defaultColWidth="9.1640625" defaultRowHeight="15" x14ac:dyDescent="0.2"/>
  <cols>
    <col min="1" max="1" width="27.5" style="6" bestFit="1" customWidth="1"/>
    <col min="2" max="2" width="42.5" style="6" bestFit="1" customWidth="1"/>
    <col min="3" max="3" width="59.33203125" style="6" bestFit="1" customWidth="1"/>
    <col min="4" max="4" width="23.5" style="6" bestFit="1" customWidth="1"/>
    <col min="5" max="5" width="100.6640625" style="6" customWidth="1"/>
    <col min="6" max="6" width="105.33203125" style="6" bestFit="1" customWidth="1"/>
    <col min="7" max="16384" width="9.1640625" style="6"/>
  </cols>
  <sheetData>
    <row r="1" spans="1:6" x14ac:dyDescent="0.2">
      <c r="A1" s="5" t="s">
        <v>83</v>
      </c>
      <c r="B1" s="5" t="s">
        <v>84</v>
      </c>
      <c r="C1" s="5" t="s">
        <v>85</v>
      </c>
      <c r="D1" s="5" t="s">
        <v>86</v>
      </c>
      <c r="E1" s="5" t="s">
        <v>128</v>
      </c>
      <c r="F1" s="5" t="s">
        <v>87</v>
      </c>
    </row>
    <row r="2" spans="1:6" x14ac:dyDescent="0.2">
      <c r="A2" s="6" t="s">
        <v>59</v>
      </c>
      <c r="B2" s="6" t="s">
        <v>88</v>
      </c>
      <c r="C2" s="6" t="s">
        <v>89</v>
      </c>
      <c r="D2" s="7" t="s">
        <v>90</v>
      </c>
      <c r="E2" s="10" t="s">
        <v>129</v>
      </c>
    </row>
    <row r="3" spans="1:6" x14ac:dyDescent="0.2">
      <c r="A3" s="6" t="s">
        <v>60</v>
      </c>
      <c r="B3" s="6" t="s">
        <v>91</v>
      </c>
      <c r="C3" s="6" t="s">
        <v>92</v>
      </c>
      <c r="D3" s="7" t="s">
        <v>93</v>
      </c>
      <c r="E3" s="7"/>
    </row>
    <row r="4" spans="1:6" x14ac:dyDescent="0.2">
      <c r="A4" s="6" t="s">
        <v>61</v>
      </c>
      <c r="B4" s="6" t="s">
        <v>94</v>
      </c>
      <c r="C4" s="6" t="s">
        <v>92</v>
      </c>
      <c r="D4" s="7" t="s">
        <v>95</v>
      </c>
      <c r="E4" s="7"/>
    </row>
    <row r="5" spans="1:6" x14ac:dyDescent="0.2">
      <c r="A5" s="6" t="s">
        <v>62</v>
      </c>
      <c r="B5" s="6" t="s">
        <v>96</v>
      </c>
      <c r="C5" s="6" t="s">
        <v>97</v>
      </c>
      <c r="D5" s="7" t="s">
        <v>98</v>
      </c>
      <c r="E5" s="10" t="s">
        <v>130</v>
      </c>
    </row>
    <row r="6" spans="1:6" x14ac:dyDescent="0.2">
      <c r="A6" s="6" t="s">
        <v>63</v>
      </c>
      <c r="B6" s="6" t="s">
        <v>99</v>
      </c>
      <c r="C6" s="6" t="s">
        <v>100</v>
      </c>
      <c r="D6" s="7" t="s">
        <v>101</v>
      </c>
      <c r="E6" s="7"/>
    </row>
    <row r="7" spans="1:6" x14ac:dyDescent="0.2">
      <c r="A7" s="6" t="s">
        <v>74</v>
      </c>
      <c r="B7" s="6" t="s">
        <v>102</v>
      </c>
      <c r="C7" s="6" t="s">
        <v>103</v>
      </c>
      <c r="D7" s="8" t="s">
        <v>78</v>
      </c>
      <c r="E7" s="8"/>
    </row>
    <row r="8" spans="1:6" x14ac:dyDescent="0.2">
      <c r="A8" s="6" t="s">
        <v>64</v>
      </c>
      <c r="B8" s="6" t="s">
        <v>104</v>
      </c>
      <c r="C8" s="6" t="s">
        <v>105</v>
      </c>
      <c r="D8" s="7" t="s">
        <v>45</v>
      </c>
      <c r="E8" s="7"/>
    </row>
    <row r="9" spans="1:6" x14ac:dyDescent="0.2">
      <c r="A9" s="6" t="s">
        <v>41</v>
      </c>
      <c r="B9" s="6" t="s">
        <v>106</v>
      </c>
      <c r="C9" s="6" t="s">
        <v>107</v>
      </c>
      <c r="D9" s="7" t="s">
        <v>108</v>
      </c>
      <c r="E9" s="7"/>
    </row>
    <row r="10" spans="1:6" x14ac:dyDescent="0.2">
      <c r="A10" s="6" t="s">
        <v>72</v>
      </c>
      <c r="B10" s="6" t="s">
        <v>109</v>
      </c>
      <c r="C10" s="6" t="s">
        <v>110</v>
      </c>
      <c r="D10" s="8">
        <v>10000000000</v>
      </c>
      <c r="E10" s="8"/>
    </row>
    <row r="11" spans="1:6" x14ac:dyDescent="0.2">
      <c r="A11" s="6" t="s">
        <v>73</v>
      </c>
      <c r="B11" s="6" t="s">
        <v>73</v>
      </c>
      <c r="C11" s="6" t="s">
        <v>111</v>
      </c>
      <c r="D11" s="6">
        <v>50</v>
      </c>
      <c r="E11" s="10" t="s">
        <v>157</v>
      </c>
    </row>
    <row r="12" spans="1:6" x14ac:dyDescent="0.2">
      <c r="A12" s="6" t="s">
        <v>65</v>
      </c>
      <c r="B12" s="6" t="s">
        <v>112</v>
      </c>
      <c r="C12" s="6" t="s">
        <v>113</v>
      </c>
      <c r="D12" s="7">
        <v>35</v>
      </c>
      <c r="E12" s="10" t="s">
        <v>131</v>
      </c>
      <c r="F12" s="6" t="s">
        <v>114</v>
      </c>
    </row>
    <row r="13" spans="1:6" x14ac:dyDescent="0.2">
      <c r="A13" s="6" t="s">
        <v>66</v>
      </c>
      <c r="B13" s="6" t="s">
        <v>115</v>
      </c>
      <c r="C13" s="6" t="s">
        <v>116</v>
      </c>
      <c r="D13" s="8" t="s">
        <v>53</v>
      </c>
      <c r="E13" s="8"/>
    </row>
    <row r="14" spans="1:6" x14ac:dyDescent="0.2">
      <c r="A14" s="6" t="s">
        <v>67</v>
      </c>
      <c r="B14" s="6" t="s">
        <v>117</v>
      </c>
      <c r="C14" s="6" t="s">
        <v>118</v>
      </c>
      <c r="D14" s="7" t="s">
        <v>119</v>
      </c>
      <c r="E14" s="10" t="s">
        <v>132</v>
      </c>
    </row>
    <row r="15" spans="1:6" x14ac:dyDescent="0.2">
      <c r="A15" s="6" t="s">
        <v>68</v>
      </c>
      <c r="B15" s="6" t="s">
        <v>120</v>
      </c>
      <c r="C15" s="6" t="s">
        <v>121</v>
      </c>
      <c r="D15" s="9">
        <v>45671</v>
      </c>
      <c r="E15" s="10" t="s">
        <v>133</v>
      </c>
      <c r="F15" s="6" t="s">
        <v>122</v>
      </c>
    </row>
    <row r="16" spans="1:6" x14ac:dyDescent="0.2">
      <c r="A16" s="6" t="s">
        <v>69</v>
      </c>
      <c r="B16" s="6" t="s">
        <v>123</v>
      </c>
      <c r="C16" s="6" t="s">
        <v>124</v>
      </c>
      <c r="D16" s="7" t="s">
        <v>125</v>
      </c>
      <c r="E16" s="7"/>
    </row>
    <row r="17" spans="1:6" x14ac:dyDescent="0.2">
      <c r="A17" s="6" t="s">
        <v>70</v>
      </c>
      <c r="B17" s="6" t="s">
        <v>126</v>
      </c>
      <c r="C17" s="6" t="s">
        <v>127</v>
      </c>
      <c r="D17" s="9">
        <v>45673</v>
      </c>
      <c r="E17" s="11" t="s">
        <v>134</v>
      </c>
      <c r="F17" s="6" t="s">
        <v>122</v>
      </c>
    </row>
    <row r="18" spans="1:6" x14ac:dyDescent="0.2">
      <c r="D18" s="8"/>
      <c r="E18" s="8"/>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3"/>
  <sheetViews>
    <sheetView workbookViewId="0">
      <selection activeCell="A2" sqref="A2"/>
    </sheetView>
  </sheetViews>
  <sheetFormatPr baseColWidth="10" defaultColWidth="8.83203125" defaultRowHeight="15" x14ac:dyDescent="0.2"/>
  <cols>
    <col min="1" max="1" width="16.5" bestFit="1" customWidth="1"/>
    <col min="2" max="2" width="140.5" customWidth="1"/>
    <col min="3" max="4" width="9.1640625" customWidth="1"/>
    <col min="7" max="7" width="19.1640625" bestFit="1" customWidth="1"/>
    <col min="8" max="8" width="51.5" bestFit="1" customWidth="1"/>
  </cols>
  <sheetData>
    <row r="1" spans="1:8" x14ac:dyDescent="0.2">
      <c r="A1" t="s">
        <v>41</v>
      </c>
      <c r="B1" t="s">
        <v>42</v>
      </c>
      <c r="C1" t="s">
        <v>73</v>
      </c>
      <c r="D1" t="s">
        <v>65</v>
      </c>
      <c r="G1" t="s">
        <v>43</v>
      </c>
      <c r="H1" t="s">
        <v>44</v>
      </c>
    </row>
    <row r="2" spans="1:8" x14ac:dyDescent="0.2">
      <c r="A2" t="s">
        <v>0</v>
      </c>
      <c r="B2" t="s">
        <v>164</v>
      </c>
      <c r="C2">
        <v>100</v>
      </c>
      <c r="D2" t="s">
        <v>185</v>
      </c>
      <c r="G2" t="s">
        <v>45</v>
      </c>
      <c r="H2" t="s">
        <v>46</v>
      </c>
    </row>
    <row r="3" spans="1:8" x14ac:dyDescent="0.2">
      <c r="A3" t="s">
        <v>1</v>
      </c>
      <c r="B3" t="s">
        <v>165</v>
      </c>
      <c r="C3">
        <v>100</v>
      </c>
      <c r="D3" t="s">
        <v>185</v>
      </c>
      <c r="G3" t="s">
        <v>58</v>
      </c>
      <c r="H3" t="s">
        <v>71</v>
      </c>
    </row>
    <row r="4" spans="1:8" x14ac:dyDescent="0.2">
      <c r="A4" t="s">
        <v>2</v>
      </c>
      <c r="B4" t="s">
        <v>166</v>
      </c>
      <c r="C4">
        <v>100</v>
      </c>
      <c r="D4" t="s">
        <v>185</v>
      </c>
      <c r="G4" t="s">
        <v>47</v>
      </c>
      <c r="H4" t="s">
        <v>48</v>
      </c>
    </row>
    <row r="5" spans="1:8" x14ac:dyDescent="0.2">
      <c r="A5" t="s">
        <v>3</v>
      </c>
      <c r="B5" t="s">
        <v>31</v>
      </c>
      <c r="C5">
        <v>50</v>
      </c>
      <c r="D5" t="s">
        <v>161</v>
      </c>
      <c r="G5" t="s">
        <v>49</v>
      </c>
      <c r="H5" t="s">
        <v>50</v>
      </c>
    </row>
    <row r="6" spans="1:8" x14ac:dyDescent="0.2">
      <c r="A6" t="s">
        <v>4</v>
      </c>
      <c r="B6" t="s">
        <v>32</v>
      </c>
      <c r="C6">
        <v>50</v>
      </c>
      <c r="D6" t="s">
        <v>161</v>
      </c>
    </row>
    <row r="7" spans="1:8" x14ac:dyDescent="0.2">
      <c r="A7" t="s">
        <v>5</v>
      </c>
      <c r="B7" t="s">
        <v>33</v>
      </c>
      <c r="C7">
        <v>50</v>
      </c>
      <c r="D7" t="s">
        <v>161</v>
      </c>
    </row>
    <row r="8" spans="1:8" x14ac:dyDescent="0.2">
      <c r="A8" t="s">
        <v>6</v>
      </c>
      <c r="B8" t="s">
        <v>167</v>
      </c>
      <c r="C8">
        <v>50</v>
      </c>
      <c r="D8" t="s">
        <v>161</v>
      </c>
      <c r="G8" t="s">
        <v>51</v>
      </c>
      <c r="H8" t="s">
        <v>52</v>
      </c>
    </row>
    <row r="9" spans="1:8" x14ac:dyDescent="0.2">
      <c r="A9" t="s">
        <v>7</v>
      </c>
      <c r="B9" t="s">
        <v>34</v>
      </c>
      <c r="C9">
        <v>50</v>
      </c>
      <c r="D9" t="s">
        <v>161</v>
      </c>
      <c r="G9" t="s">
        <v>135</v>
      </c>
      <c r="H9" t="s">
        <v>136</v>
      </c>
    </row>
    <row r="10" spans="1:8" x14ac:dyDescent="0.2">
      <c r="A10" t="s">
        <v>8</v>
      </c>
      <c r="B10" t="s">
        <v>35</v>
      </c>
      <c r="C10">
        <v>50</v>
      </c>
      <c r="D10" t="s">
        <v>161</v>
      </c>
      <c r="G10" t="s">
        <v>54</v>
      </c>
      <c r="H10" t="s">
        <v>137</v>
      </c>
    </row>
    <row r="11" spans="1:8" x14ac:dyDescent="0.2">
      <c r="A11" t="s">
        <v>9</v>
      </c>
      <c r="B11" t="s">
        <v>36</v>
      </c>
      <c r="C11">
        <v>50</v>
      </c>
      <c r="D11" t="s">
        <v>161</v>
      </c>
      <c r="G11" t="s">
        <v>55</v>
      </c>
      <c r="H11" t="s">
        <v>138</v>
      </c>
    </row>
    <row r="12" spans="1:8" x14ac:dyDescent="0.2">
      <c r="A12" t="s">
        <v>10</v>
      </c>
      <c r="B12" t="s">
        <v>37</v>
      </c>
      <c r="C12">
        <v>50</v>
      </c>
      <c r="D12" t="s">
        <v>161</v>
      </c>
      <c r="G12" t="s">
        <v>139</v>
      </c>
      <c r="H12" t="s">
        <v>140</v>
      </c>
    </row>
    <row r="13" spans="1:8" x14ac:dyDescent="0.2">
      <c r="A13" t="s">
        <v>11</v>
      </c>
      <c r="B13" t="s">
        <v>168</v>
      </c>
      <c r="C13">
        <v>50</v>
      </c>
      <c r="D13" t="s">
        <v>161</v>
      </c>
      <c r="G13" t="s">
        <v>141</v>
      </c>
      <c r="H13" t="s">
        <v>141</v>
      </c>
    </row>
    <row r="14" spans="1:8" x14ac:dyDescent="0.2">
      <c r="A14" t="s">
        <v>12</v>
      </c>
      <c r="B14" t="s">
        <v>169</v>
      </c>
      <c r="C14">
        <v>50</v>
      </c>
      <c r="D14" t="s">
        <v>161</v>
      </c>
      <c r="G14" t="s">
        <v>142</v>
      </c>
      <c r="H14" t="s">
        <v>143</v>
      </c>
    </row>
    <row r="15" spans="1:8" x14ac:dyDescent="0.2">
      <c r="A15" t="s">
        <v>13</v>
      </c>
      <c r="B15" t="s">
        <v>170</v>
      </c>
      <c r="C15">
        <v>50</v>
      </c>
      <c r="D15" t="s">
        <v>161</v>
      </c>
      <c r="G15" t="s">
        <v>144</v>
      </c>
      <c r="H15" t="s">
        <v>145</v>
      </c>
    </row>
    <row r="16" spans="1:8" x14ac:dyDescent="0.2">
      <c r="A16" t="s">
        <v>14</v>
      </c>
      <c r="B16" t="s">
        <v>171</v>
      </c>
      <c r="C16">
        <v>50</v>
      </c>
      <c r="D16" t="s">
        <v>161</v>
      </c>
      <c r="G16" t="s">
        <v>146</v>
      </c>
      <c r="H16" t="s">
        <v>147</v>
      </c>
    </row>
    <row r="17" spans="1:8" x14ac:dyDescent="0.2">
      <c r="A17" t="s">
        <v>15</v>
      </c>
      <c r="B17" t="s">
        <v>172</v>
      </c>
      <c r="C17">
        <v>100</v>
      </c>
      <c r="D17" t="s">
        <v>161</v>
      </c>
      <c r="G17" t="s">
        <v>148</v>
      </c>
      <c r="H17" t="s">
        <v>149</v>
      </c>
    </row>
    <row r="18" spans="1:8" x14ac:dyDescent="0.2">
      <c r="A18" t="s">
        <v>16</v>
      </c>
      <c r="B18" t="s">
        <v>173</v>
      </c>
      <c r="C18">
        <v>100</v>
      </c>
      <c r="D18" t="s">
        <v>161</v>
      </c>
      <c r="G18" t="s">
        <v>56</v>
      </c>
      <c r="H18" t="s">
        <v>150</v>
      </c>
    </row>
    <row r="19" spans="1:8" x14ac:dyDescent="0.2">
      <c r="A19" t="s">
        <v>17</v>
      </c>
      <c r="B19" t="s">
        <v>174</v>
      </c>
      <c r="C19">
        <v>100</v>
      </c>
      <c r="D19" t="s">
        <v>161</v>
      </c>
      <c r="G19" t="s">
        <v>57</v>
      </c>
      <c r="H19" t="s">
        <v>151</v>
      </c>
    </row>
    <row r="20" spans="1:8" x14ac:dyDescent="0.2">
      <c r="A20" t="s">
        <v>18</v>
      </c>
      <c r="B20" t="s">
        <v>175</v>
      </c>
      <c r="C20">
        <v>100</v>
      </c>
      <c r="D20" t="s">
        <v>161</v>
      </c>
      <c r="G20" t="s">
        <v>53</v>
      </c>
      <c r="H20" t="s">
        <v>152</v>
      </c>
    </row>
    <row r="21" spans="1:8" x14ac:dyDescent="0.2">
      <c r="A21" t="s">
        <v>19</v>
      </c>
      <c r="B21" t="s">
        <v>176</v>
      </c>
      <c r="C21">
        <v>100</v>
      </c>
      <c r="D21" t="s">
        <v>161</v>
      </c>
      <c r="G21" t="s">
        <v>153</v>
      </c>
      <c r="H21" t="s">
        <v>154</v>
      </c>
    </row>
    <row r="22" spans="1:8" x14ac:dyDescent="0.2">
      <c r="A22" t="s">
        <v>20</v>
      </c>
      <c r="B22" t="s">
        <v>177</v>
      </c>
      <c r="C22">
        <v>100</v>
      </c>
      <c r="D22" t="s">
        <v>161</v>
      </c>
      <c r="G22" t="s">
        <v>155</v>
      </c>
      <c r="H22" t="s">
        <v>156</v>
      </c>
    </row>
    <row r="23" spans="1:8" x14ac:dyDescent="0.2">
      <c r="A23" t="s">
        <v>21</v>
      </c>
      <c r="B23" t="s">
        <v>178</v>
      </c>
      <c r="C23">
        <v>100</v>
      </c>
      <c r="D23" t="s">
        <v>161</v>
      </c>
    </row>
    <row r="24" spans="1:8" x14ac:dyDescent="0.2">
      <c r="A24" t="s">
        <v>22</v>
      </c>
      <c r="B24" t="s">
        <v>179</v>
      </c>
      <c r="C24">
        <v>50</v>
      </c>
      <c r="D24" t="s">
        <v>161</v>
      </c>
    </row>
    <row r="25" spans="1:8" x14ac:dyDescent="0.2">
      <c r="A25" t="s">
        <v>23</v>
      </c>
      <c r="B25" t="s">
        <v>180</v>
      </c>
      <c r="C25">
        <v>50</v>
      </c>
      <c r="D25" t="s">
        <v>161</v>
      </c>
      <c r="G25" t="s">
        <v>74</v>
      </c>
    </row>
    <row r="26" spans="1:8" x14ac:dyDescent="0.2">
      <c r="A26" t="s">
        <v>24</v>
      </c>
      <c r="B26" t="s">
        <v>181</v>
      </c>
      <c r="C26">
        <v>100</v>
      </c>
      <c r="D26" t="s">
        <v>186</v>
      </c>
      <c r="G26" t="s">
        <v>75</v>
      </c>
    </row>
    <row r="27" spans="1:8" x14ac:dyDescent="0.2">
      <c r="A27" t="s">
        <v>25</v>
      </c>
      <c r="B27" t="s">
        <v>182</v>
      </c>
      <c r="C27">
        <v>100</v>
      </c>
      <c r="D27" t="s">
        <v>186</v>
      </c>
      <c r="G27" t="s">
        <v>76</v>
      </c>
    </row>
    <row r="28" spans="1:8" x14ac:dyDescent="0.2">
      <c r="A28" t="s">
        <v>26</v>
      </c>
      <c r="B28" t="s">
        <v>38</v>
      </c>
      <c r="C28">
        <v>100</v>
      </c>
      <c r="D28">
        <v>0</v>
      </c>
      <c r="G28" t="s">
        <v>77</v>
      </c>
    </row>
    <row r="29" spans="1:8" x14ac:dyDescent="0.2">
      <c r="A29" t="s">
        <v>27</v>
      </c>
      <c r="B29" t="s">
        <v>183</v>
      </c>
      <c r="C29">
        <v>100</v>
      </c>
      <c r="D29">
        <v>5</v>
      </c>
      <c r="G29" t="s">
        <v>78</v>
      </c>
    </row>
    <row r="30" spans="1:8" x14ac:dyDescent="0.2">
      <c r="A30" t="s">
        <v>28</v>
      </c>
      <c r="B30" t="s">
        <v>39</v>
      </c>
      <c r="C30">
        <v>100</v>
      </c>
      <c r="D30">
        <v>15</v>
      </c>
      <c r="G30" t="s">
        <v>79</v>
      </c>
    </row>
    <row r="31" spans="1:8" x14ac:dyDescent="0.2">
      <c r="A31" t="s">
        <v>29</v>
      </c>
      <c r="B31" t="s">
        <v>40</v>
      </c>
      <c r="C31">
        <v>100</v>
      </c>
      <c r="D31" t="s">
        <v>187</v>
      </c>
      <c r="G31" t="s">
        <v>80</v>
      </c>
    </row>
    <row r="32" spans="1:8" x14ac:dyDescent="0.2">
      <c r="A32" t="s">
        <v>30</v>
      </c>
      <c r="B32" t="s">
        <v>184</v>
      </c>
      <c r="C32">
        <v>100</v>
      </c>
      <c r="D32" t="s">
        <v>188</v>
      </c>
      <c r="G32" t="s">
        <v>81</v>
      </c>
    </row>
    <row r="33" spans="1:7" x14ac:dyDescent="0.2">
      <c r="A33" t="s">
        <v>162</v>
      </c>
      <c r="B33" t="s">
        <v>163</v>
      </c>
      <c r="C33">
        <v>100</v>
      </c>
      <c r="D33" t="s">
        <v>185</v>
      </c>
      <c r="G33" t="s">
        <v>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909D283D4B61C40B04615CF685D9DC4" ma:contentTypeVersion="4" ma:contentTypeDescription="Create a new document." ma:contentTypeScope="" ma:versionID="8a0a6ae95bee642abd4fa093b15118a0">
  <xsd:schema xmlns:xsd="http://www.w3.org/2001/XMLSchema" xmlns:xs="http://www.w3.org/2001/XMLSchema" xmlns:p="http://schemas.microsoft.com/office/2006/metadata/properties" xmlns:ns2="384a20b0-2ae1-4928-afa0-8d7a374f7e2f" targetNamespace="http://schemas.microsoft.com/office/2006/metadata/properties" ma:root="true" ma:fieldsID="1ce603e37218e78da04d35352e7e53fe" ns2:_="">
    <xsd:import namespace="384a20b0-2ae1-4928-afa0-8d7a374f7e2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4a20b0-2ae1-4928-afa0-8d7a374f7e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EAD979-ED1C-4B70-B71F-34290487B9A6}">
  <ds:schemaRefs>
    <ds:schemaRef ds:uri="http://schemas.microsoft.com/sharepoint/v3/contenttype/forms"/>
  </ds:schemaRefs>
</ds:datastoreItem>
</file>

<file path=customXml/itemProps2.xml><?xml version="1.0" encoding="utf-8"?>
<ds:datastoreItem xmlns:ds="http://schemas.openxmlformats.org/officeDocument/2006/customXml" ds:itemID="{B539D1F6-961A-4F3E-A24E-7F0B581355BE}">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90482F4-5E6C-46E9-A0BA-F9E5252BF8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4a20b0-2ae1-4928-afa0-8d7a374f7e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BP21</vt:lpstr>
      <vt:lpstr>REF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Radhitya Kenprasojo</dc:creator>
  <cp:lastModifiedBy>cintyaanindyajp@gmail.com</cp:lastModifiedBy>
  <dcterms:created xsi:type="dcterms:W3CDTF">2015-06-05T18:17:20Z</dcterms:created>
  <dcterms:modified xsi:type="dcterms:W3CDTF">2026-05-26T16:46:55Z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0x0101008909D283D4B61C40B04615CF685D9DC4</vt:lpwstr>
  </property>
</Properties>
</file>